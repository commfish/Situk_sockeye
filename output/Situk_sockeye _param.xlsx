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A6021DB1-D138-428D-871B-C8697A4A7CDE}" xr6:coauthVersionLast="47" xr6:coauthVersionMax="47" xr10:uidLastSave="{00000000-0000-0000-0000-000000000000}"/>
  <bookViews>
    <workbookView xWindow="-28920" yWindow="-120" windowWidth="29040" windowHeight="15720" activeTab="3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6" i="4"/>
  <c r="D4" i="4" s="1"/>
  <c r="B7" i="4"/>
  <c r="D5" i="4" s="1"/>
  <c r="B8" i="4"/>
  <c r="C6" i="4" s="1"/>
  <c r="B9" i="4"/>
  <c r="B10" i="4"/>
  <c r="C8" i="4" s="1"/>
  <c r="B11" i="4"/>
  <c r="C9" i="4" s="1"/>
  <c r="B12" i="4"/>
  <c r="D10" i="4" s="1"/>
  <c r="B13" i="4"/>
  <c r="D11" i="4" s="1"/>
  <c r="B14" i="4"/>
  <c r="D12" i="4" s="1"/>
  <c r="B15" i="4"/>
  <c r="D13" i="4" s="1"/>
  <c r="B16" i="4"/>
  <c r="C14" i="4" s="1"/>
  <c r="B17" i="4"/>
  <c r="D15" i="4" s="1"/>
  <c r="B18" i="4"/>
  <c r="D16" i="4" s="1"/>
  <c r="B19" i="4"/>
  <c r="C17" i="4" s="1"/>
  <c r="B20" i="4"/>
  <c r="C18" i="4" s="1"/>
  <c r="B21" i="4"/>
  <c r="B22" i="4"/>
  <c r="D20" i="4" s="1"/>
  <c r="B23" i="4"/>
  <c r="C21" i="4" s="1"/>
  <c r="B24" i="4"/>
  <c r="C22" i="4" s="1"/>
  <c r="B25" i="4"/>
  <c r="D23" i="4" s="1"/>
  <c r="B26" i="4"/>
  <c r="D24" i="4" s="1"/>
  <c r="B27" i="4"/>
  <c r="B28" i="4"/>
  <c r="D26" i="4" s="1"/>
  <c r="B29" i="4"/>
  <c r="D27" i="4" s="1"/>
  <c r="B30" i="4"/>
  <c r="D28" i="4" s="1"/>
  <c r="B31" i="4"/>
  <c r="D29" i="4" s="1"/>
  <c r="B32" i="4"/>
  <c r="B33" i="4"/>
  <c r="C31" i="4" s="1"/>
  <c r="B34" i="4"/>
  <c r="D32" i="4" s="1"/>
  <c r="B35" i="4"/>
  <c r="D33" i="4" s="1"/>
  <c r="B36" i="4"/>
  <c r="D34" i="4" s="1"/>
  <c r="B37" i="4"/>
  <c r="D35" i="4" s="1"/>
  <c r="B38" i="4"/>
  <c r="D36" i="4" s="1"/>
  <c r="B39" i="4"/>
  <c r="D37" i="4" s="1"/>
  <c r="B40" i="4"/>
  <c r="D38" i="4" s="1"/>
  <c r="B41" i="4"/>
  <c r="D39" i="4" s="1"/>
  <c r="B42" i="4"/>
  <c r="B43" i="4"/>
  <c r="D41" i="4" s="1"/>
  <c r="B44" i="4"/>
  <c r="D42" i="4" s="1"/>
  <c r="B45" i="4"/>
  <c r="D43" i="4" s="1"/>
  <c r="B46" i="4"/>
  <c r="D44" i="4" s="1"/>
  <c r="B47" i="4"/>
  <c r="C45" i="4" s="1"/>
  <c r="B48" i="4"/>
  <c r="D46" i="4" s="1"/>
  <c r="B49" i="4"/>
  <c r="D47" i="4" s="1"/>
  <c r="B50" i="4"/>
  <c r="D48" i="4" s="1"/>
  <c r="B51" i="4"/>
  <c r="D49" i="4" s="1"/>
  <c r="B52" i="4"/>
  <c r="C50" i="4" s="1"/>
  <c r="B4" i="4"/>
  <c r="C2" i="4" s="1"/>
  <c r="C46" i="4"/>
  <c r="D45" i="4"/>
  <c r="D40" i="4"/>
  <c r="C40" i="4"/>
  <c r="C39" i="4"/>
  <c r="C38" i="4"/>
  <c r="D31" i="4"/>
  <c r="D30" i="4"/>
  <c r="C30" i="4"/>
  <c r="C26" i="4"/>
  <c r="D25" i="4"/>
  <c r="C25" i="4"/>
  <c r="D22" i="4"/>
  <c r="D19" i="4"/>
  <c r="C19" i="4"/>
  <c r="D14" i="4"/>
  <c r="D9" i="4"/>
  <c r="D7" i="4"/>
  <c r="C7" i="4"/>
  <c r="D6" i="4"/>
  <c r="D3" i="4"/>
  <c r="C3" i="4"/>
  <c r="C10" i="4" l="1"/>
  <c r="C41" i="4"/>
  <c r="D21" i="4"/>
  <c r="C24" i="4"/>
  <c r="C42" i="4"/>
  <c r="D2" i="4"/>
  <c r="D50" i="4"/>
  <c r="D18" i="4"/>
  <c r="D8" i="4"/>
  <c r="C32" i="4"/>
  <c r="C33" i="4"/>
  <c r="C12" i="4"/>
  <c r="C23" i="4"/>
  <c r="C47" i="4"/>
  <c r="D17" i="4"/>
  <c r="C34" i="4"/>
  <c r="C48" i="4"/>
  <c r="C15" i="4"/>
  <c r="C37" i="4"/>
  <c r="C49" i="4"/>
  <c r="C16" i="4"/>
  <c r="C5" i="4"/>
  <c r="C28" i="4"/>
  <c r="C27" i="4"/>
  <c r="C35" i="4"/>
  <c r="C4" i="4"/>
  <c r="C20" i="4"/>
  <c r="C43" i="4"/>
  <c r="C36" i="4"/>
  <c r="C11" i="4"/>
  <c r="C13" i="4"/>
  <c r="C29" i="4"/>
  <c r="C44" i="4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M4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J4" i="3" s="1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X8" i="1" s="1"/>
  <c r="AK73" i="1"/>
  <c r="AK74" i="1"/>
  <c r="B9" i="1"/>
  <c r="B8" i="1"/>
  <c r="B7" i="1"/>
  <c r="B5" i="1"/>
  <c r="B4" i="1"/>
  <c r="C10" i="1"/>
  <c r="D10" i="1"/>
  <c r="B10" i="1"/>
  <c r="C9" i="1"/>
  <c r="D9" i="1"/>
  <c r="R71" i="1"/>
  <c r="E9" i="1" s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E10" i="1" s="1"/>
  <c r="R73" i="1"/>
  <c r="R74" i="1"/>
  <c r="R23" i="1"/>
  <c r="R24" i="1"/>
  <c r="R25" i="1"/>
  <c r="R26" i="1"/>
  <c r="R27" i="1"/>
  <c r="R28" i="1"/>
  <c r="R29" i="1"/>
  <c r="R30" i="1"/>
  <c r="R31" i="1"/>
  <c r="J3" i="3" l="1"/>
  <c r="M3" i="3"/>
  <c r="AK22" i="1"/>
  <c r="C13" i="1"/>
  <c r="C15" i="1"/>
  <c r="C14" i="1"/>
  <c r="E12" i="1"/>
  <c r="D12" i="1"/>
  <c r="B12" i="1"/>
  <c r="C12" i="1"/>
  <c r="C1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<sst xmlns="http://schemas.openxmlformats.org/spreadsheetml/2006/main" count="464" uniqueCount="146">
  <si>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</si>
  <si>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</si>
  <si>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</si>
  <si>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</si>
  <si>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</si>
  <si>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</si>
  <si>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</si>
  <si>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</si>
  <si>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</si>
  <si>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</si>
  <si>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</si>
  <si>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</si>
  <si>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</si>
  <si>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</si>
  <si>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</si>
  <si>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</si>
  <si>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</si>
  <si>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</si>
  <si>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</si>
  <si>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</si>
  <si>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</si>
  <si>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</si>
  <si>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</si>
  <si>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</si>
  <si>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</si>
  <si>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</si>
  <si>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</si>
  <si>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</si>
  <si>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</si>
  <si>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</si>
  <si>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</si>
  <si>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</si>
  <si>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</si>
  <si>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</si>
  <si>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</si>
  <si>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</si>
  <si>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</si>
  <si>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</si>
  <si>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</si>
  <si>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</si>
  <si>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</si>
  <si>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</si>
  <si>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</si>
  <si>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</si>
  <si>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</si>
  <si>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</si>
  <si>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</si>
  <si>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</si>
  <si>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</si>
  <si>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</si>
  <si>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</si>
  <si>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</si>
  <si>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</si>
  <si>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</si>
  <si>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</si>
  <si>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</si>
  <si>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</si>
  <si>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</si>
  <si>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</si>
  <si>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</si>
  <si>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</si>
  <si>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</si>
  <si>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</si>
  <si>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</si>
  <si>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</si>
  <si>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</si>
  <si>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</si>
  <si>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</si>
  <si>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</si>
  <si>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</si>
  <si>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</si>
  <si>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</si>
  <si>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</si>
  <si>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</si>
  <si>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</si>
  <si>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</si>
  <si>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</si>
  <si>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</si>
  <si>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</si>
  <si>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</si>
  <si>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</si>
  <si>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</si>
  <si>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</si>
  <si>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</si>
  <si>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</si>
  <si>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</si>
  <si>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</si>
  <si>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</si>
  <si>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</si>
  <si>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</si>
  <si>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</si>
  <si>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</si>
  <si>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</si>
  <si>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</si>
  <si>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</si>
  <si>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</si>
  <si>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</si>
  <si>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</si>
  <si>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</si>
  <si>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</si>
  <si>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</si>
  <si>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</si>
  <si>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</si>
  <si>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</si>
  <si>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</si>
  <si>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</si>
  <si>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</si>
  <si>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</si>
  <si>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</si>
  <si>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</si>
  <si>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</si>
  <si>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</si>
  <si>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</si>
  <si>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</si>
  <si>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</si>
  <si>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</si>
  <si>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</si>
  <si>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</si>
  <si>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</si>
  <si>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</si>
  <si>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</si>
  <si>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</si>
  <si>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</si>
  <si>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</si>
  <si>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</si>
  <si>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</si>
  <si>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</si>
  <si>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</si>
  <si>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</si>
  <si>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</si>
  <si>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</si>
  <si>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</si>
  <si>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</si>
  <si>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</si>
  <si>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</si>
  <si>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</si>
  <si>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</si>
  <si>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</si>
  <si>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</si>
  <si>
    <t>SITUK RIVER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</si>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</sst>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92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0" fontId="20" fillId="0" borderId="0" xfId="0" applyFont="1" applyAlignment="1">
      <alignment horizontal="center"/>
    </xf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8" fillId="0" borderId="0" xfId="3" applyFont="1"/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/>
    </xf>
    <xf numFmtId="3" fontId="29" fillId="0" borderId="0" xfId="0" applyNumberFormat="1" applyFont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0.11039637257072027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1.0436328071908099</c:v>
                </c:pt>
                <c:pt idx="13">
                  <c:v>0.42180639562639022</c:v>
                </c:pt>
                <c:pt idx="14">
                  <c:v>0.10409111999030518</c:v>
                </c:pt>
                <c:pt idx="15">
                  <c:v>0.83285764408988172</c:v>
                </c:pt>
                <c:pt idx="16">
                  <c:v>-8.4514492027120663E-2</c:v>
                </c:pt>
                <c:pt idx="17">
                  <c:v>0.24571847291040061</c:v>
                </c:pt>
                <c:pt idx="18">
                  <c:v>0.71419556287234742</c:v>
                </c:pt>
                <c:pt idx="19">
                  <c:v>0.84514169575007747</c:v>
                </c:pt>
                <c:pt idx="20">
                  <c:v>0.6345084308967307</c:v>
                </c:pt>
                <c:pt idx="21">
                  <c:v>1.0544599113569881</c:v>
                </c:pt>
                <c:pt idx="22">
                  <c:v>1.3785435184015697</c:v>
                </c:pt>
                <c:pt idx="23">
                  <c:v>0.45436137682675437</c:v>
                </c:pt>
                <c:pt idx="24">
                  <c:v>0.72352848597680752</c:v>
                </c:pt>
                <c:pt idx="25">
                  <c:v>1.1944799021812398</c:v>
                </c:pt>
                <c:pt idx="26">
                  <c:v>1.0123297181331994</c:v>
                </c:pt>
                <c:pt idx="27">
                  <c:v>-0.38356739777092685</c:v>
                </c:pt>
                <c:pt idx="28">
                  <c:v>0.95579663464621545</c:v>
                </c:pt>
                <c:pt idx="29">
                  <c:v>1.0953949642028034</c:v>
                </c:pt>
                <c:pt idx="30">
                  <c:v>0.12267873524547519</c:v>
                </c:pt>
                <c:pt idx="31">
                  <c:v>1.1406785925695737</c:v>
                </c:pt>
                <c:pt idx="32">
                  <c:v>1.5784038855744735</c:v>
                </c:pt>
                <c:pt idx="33">
                  <c:v>1.1214463233770635</c:v>
                </c:pt>
                <c:pt idx="34">
                  <c:v>0.75085803387915484</c:v>
                </c:pt>
                <c:pt idx="35">
                  <c:v>0.4817094867902148</c:v>
                </c:pt>
                <c:pt idx="36">
                  <c:v>0.45478357311868056</c:v>
                </c:pt>
                <c:pt idx="37">
                  <c:v>-0.35202156303997845</c:v>
                </c:pt>
                <c:pt idx="38">
                  <c:v>-0.32447189871157844</c:v>
                </c:pt>
                <c:pt idx="39">
                  <c:v>-0.23192975432062812</c:v>
                </c:pt>
                <c:pt idx="40">
                  <c:v>1.1025310722944843</c:v>
                </c:pt>
                <c:pt idx="41">
                  <c:v>0.24573590885843863</c:v>
                </c:pt>
                <c:pt idx="42">
                  <c:v>1.8062853494543301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  <c:pt idx="12">
                  <c:v>60000</c:v>
                </c:pt>
                <c:pt idx="13">
                  <c:v>60000</c:v>
                </c:pt>
                <c:pt idx="14">
                  <c:v>60000</c:v>
                </c:pt>
                <c:pt idx="15">
                  <c:v>60000</c:v>
                </c:pt>
                <c:pt idx="16">
                  <c:v>60000</c:v>
                </c:pt>
                <c:pt idx="17">
                  <c:v>60000</c:v>
                </c:pt>
                <c:pt idx="18">
                  <c:v>60000</c:v>
                </c:pt>
                <c:pt idx="19">
                  <c:v>60000</c:v>
                </c:pt>
                <c:pt idx="20">
                  <c:v>60000</c:v>
                </c:pt>
                <c:pt idx="21">
                  <c:v>60000</c:v>
                </c:pt>
                <c:pt idx="22">
                  <c:v>60000</c:v>
                </c:pt>
                <c:pt idx="23">
                  <c:v>60000</c:v>
                </c:pt>
                <c:pt idx="24">
                  <c:v>60000</c:v>
                </c:pt>
                <c:pt idx="25">
                  <c:v>60000</c:v>
                </c:pt>
                <c:pt idx="26">
                  <c:v>60000</c:v>
                </c:pt>
                <c:pt idx="27">
                  <c:v>60000</c:v>
                </c:pt>
                <c:pt idx="28">
                  <c:v>60000</c:v>
                </c:pt>
                <c:pt idx="29">
                  <c:v>60000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  <c:pt idx="41">
                  <c:v>60000</c:v>
                </c:pt>
                <c:pt idx="42">
                  <c:v>60000</c:v>
                </c:pt>
                <c:pt idx="43">
                  <c:v>60000</c:v>
                </c:pt>
                <c:pt idx="44">
                  <c:v>60000</c:v>
                </c:pt>
                <c:pt idx="45">
                  <c:v>60000</c:v>
                </c:pt>
                <c:pt idx="46">
                  <c:v>60000</c:v>
                </c:pt>
                <c:pt idx="47">
                  <c:v>60000</c:v>
                </c:pt>
                <c:pt idx="48">
                  <c:v>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0">
                  <c:v>33000</c:v>
                </c:pt>
                <c:pt idx="1">
                  <c:v>33000</c:v>
                </c:pt>
                <c:pt idx="2">
                  <c:v>33000</c:v>
                </c:pt>
                <c:pt idx="3">
                  <c:v>33000</c:v>
                </c:pt>
                <c:pt idx="4">
                  <c:v>33000</c:v>
                </c:pt>
                <c:pt idx="5">
                  <c:v>33000</c:v>
                </c:pt>
                <c:pt idx="6">
                  <c:v>33000</c:v>
                </c:pt>
                <c:pt idx="7">
                  <c:v>33000</c:v>
                </c:pt>
                <c:pt idx="8">
                  <c:v>33000</c:v>
                </c:pt>
                <c:pt idx="9">
                  <c:v>33000</c:v>
                </c:pt>
                <c:pt idx="10">
                  <c:v>33000</c:v>
                </c:pt>
                <c:pt idx="11">
                  <c:v>33000</c:v>
                </c:pt>
                <c:pt idx="12">
                  <c:v>33000</c:v>
                </c:pt>
                <c:pt idx="13">
                  <c:v>33000</c:v>
                </c:pt>
                <c:pt idx="14">
                  <c:v>33000</c:v>
                </c:pt>
                <c:pt idx="15">
                  <c:v>33000</c:v>
                </c:pt>
                <c:pt idx="16">
                  <c:v>33000</c:v>
                </c:pt>
                <c:pt idx="17">
                  <c:v>33000</c:v>
                </c:pt>
                <c:pt idx="18">
                  <c:v>33000</c:v>
                </c:pt>
                <c:pt idx="19">
                  <c:v>33000</c:v>
                </c:pt>
                <c:pt idx="20">
                  <c:v>33000</c:v>
                </c:pt>
                <c:pt idx="21">
                  <c:v>33000</c:v>
                </c:pt>
                <c:pt idx="22">
                  <c:v>33000</c:v>
                </c:pt>
                <c:pt idx="23">
                  <c:v>33000</c:v>
                </c:pt>
                <c:pt idx="24">
                  <c:v>33000</c:v>
                </c:pt>
                <c:pt idx="25">
                  <c:v>33000</c:v>
                </c:pt>
                <c:pt idx="26">
                  <c:v>33000</c:v>
                </c:pt>
                <c:pt idx="27">
                  <c:v>33000</c:v>
                </c:pt>
                <c:pt idx="28">
                  <c:v>33000</c:v>
                </c:pt>
                <c:pt idx="29">
                  <c:v>33000</c:v>
                </c:pt>
                <c:pt idx="30">
                  <c:v>33000</c:v>
                </c:pt>
                <c:pt idx="31">
                  <c:v>33000</c:v>
                </c:pt>
                <c:pt idx="32">
                  <c:v>33000</c:v>
                </c:pt>
                <c:pt idx="33">
                  <c:v>33000</c:v>
                </c:pt>
                <c:pt idx="34">
                  <c:v>33000</c:v>
                </c:pt>
                <c:pt idx="35">
                  <c:v>33000</c:v>
                </c:pt>
                <c:pt idx="36">
                  <c:v>33000</c:v>
                </c:pt>
                <c:pt idx="37">
                  <c:v>33000</c:v>
                </c:pt>
                <c:pt idx="38">
                  <c:v>33000</c:v>
                </c:pt>
                <c:pt idx="39">
                  <c:v>33000</c:v>
                </c:pt>
                <c:pt idx="40">
                  <c:v>33000</c:v>
                </c:pt>
                <c:pt idx="41">
                  <c:v>33000</c:v>
                </c:pt>
                <c:pt idx="42">
                  <c:v>33000</c:v>
                </c:pt>
                <c:pt idx="43">
                  <c:v>33000</c:v>
                </c:pt>
                <c:pt idx="44">
                  <c:v>33000</c:v>
                </c:pt>
                <c:pt idx="45">
                  <c:v>33000</c:v>
                </c:pt>
                <c:pt idx="46">
                  <c:v>33000</c:v>
                </c:pt>
                <c:pt idx="47">
                  <c:v>33000</c:v>
                </c:pt>
                <c:pt idx="48">
                  <c:v>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showFormulas="1" topLeftCell="J56" workbookViewId="0">
      <selection activeCell="Q4" sqref="Q4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85"/>
      <c r="C2" s="85"/>
      <c r="D2" s="85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1">K2</f>
        <v>1.5848411238629601</v>
      </c>
      <c r="D4" s="24">
        <f t="shared" si="1"/>
        <v>1.90889887147348</v>
      </c>
      <c r="E4" s="24">
        <f t="shared" si="1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2">K3</f>
        <v>1.6740485635725599</v>
      </c>
      <c r="D5" s="15">
        <f t="shared" ref="D5" si="3">L3</f>
        <v>2.00837666869697</v>
      </c>
      <c r="E5" s="15">
        <f t="shared" ref="E5" si="4">M3</f>
        <v>0.10177034271958101</v>
      </c>
      <c r="I5" s="39" t="s">
        <v>25</v>
      </c>
      <c r="J5" s="64" t="s">
        <v>71</v>
      </c>
      <c r="K5" s="64" t="s">
        <v>72</v>
      </c>
      <c r="L5" s="64" t="s">
        <v>73</v>
      </c>
      <c r="M5" s="65">
        <v>0.146414967208851</v>
      </c>
      <c r="T5" s="10" t="s">
        <v>6</v>
      </c>
      <c r="U5" s="75" t="s">
        <v>126</v>
      </c>
      <c r="V5" s="75" t="s">
        <v>56</v>
      </c>
      <c r="W5" s="75" t="s">
        <v>127</v>
      </c>
      <c r="X5" s="76">
        <f>AF5</f>
        <v>0.13710611849445001</v>
      </c>
      <c r="AB5" s="39" t="s">
        <v>25</v>
      </c>
      <c r="AC5" s="73" t="s">
        <v>122</v>
      </c>
      <c r="AD5" s="73" t="s">
        <v>123</v>
      </c>
      <c r="AE5" s="73" t="s">
        <v>124</v>
      </c>
      <c r="AF5" s="74">
        <v>0.13710611849445001</v>
      </c>
    </row>
    <row r="6" spans="1:37" ht="16.8" x14ac:dyDescent="0.3">
      <c r="A6" s="10" t="s">
        <v>6</v>
      </c>
      <c r="B6" s="62" t="s">
        <v>74</v>
      </c>
      <c r="C6" s="62" t="s">
        <v>75</v>
      </c>
      <c r="D6" s="62" t="s">
        <v>76</v>
      </c>
      <c r="E6" s="63">
        <f t="shared" ref="C6:E8" si="5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5"/>
        <v>4.8785162479750896</v>
      </c>
      <c r="D7" s="15">
        <f t="shared" si="5"/>
        <v>6.7456568775144596</v>
      </c>
      <c r="E7" s="15">
        <f t="shared" si="5"/>
        <v>0.168374632991206</v>
      </c>
      <c r="I7" s="39" t="s">
        <v>52</v>
      </c>
      <c r="J7" s="39">
        <v>3.8086486543456499</v>
      </c>
      <c r="K7" s="39">
        <v>5.3337180415298997</v>
      </c>
      <c r="L7" s="39">
        <v>7.4512117468363597</v>
      </c>
      <c r="M7" s="39">
        <v>0.17661028842660501</v>
      </c>
      <c r="N7" s="8"/>
      <c r="O7" s="8"/>
      <c r="P7" s="8"/>
      <c r="Q7" s="8"/>
      <c r="R7" s="8"/>
      <c r="T7" s="71" t="s">
        <v>128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5"/>
        <v>5.3337180415298997</v>
      </c>
      <c r="D8" s="15">
        <f t="shared" si="5"/>
        <v>7.4512117468363597</v>
      </c>
      <c r="E8" s="15">
        <f t="shared" si="5"/>
        <v>0.17661028842660501</v>
      </c>
      <c r="I8" s="39" t="s">
        <v>27</v>
      </c>
      <c r="J8" s="39">
        <v>39954.6456019611</v>
      </c>
      <c r="K8" s="39">
        <v>46158.086861449199</v>
      </c>
      <c r="L8" s="39">
        <v>56888.647323322897</v>
      </c>
      <c r="M8" s="39">
        <v>9.2081636909701794E-2</v>
      </c>
      <c r="T8" s="11" t="s">
        <v>8</v>
      </c>
      <c r="U8" s="15">
        <f>AF72</f>
        <v>0.32759347971753799</v>
      </c>
      <c r="V8" s="15">
        <f>AG72</f>
        <v>0.40174414025153599</v>
      </c>
      <c r="W8" s="15">
        <f>AH72</f>
        <v>0.50427074943199002</v>
      </c>
      <c r="X8" s="15">
        <f>AK72</f>
        <v>0.11208191006719119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-0.23005100805628501</v>
      </c>
      <c r="C9" s="15">
        <f t="shared" ref="C9:D9" si="7">N71</f>
        <v>9.7634602570365103E-2</v>
      </c>
      <c r="D9" s="15">
        <f t="shared" si="7"/>
        <v>0.45580216878604402</v>
      </c>
      <c r="E9" s="15">
        <f>R71</f>
        <v>1.7521147569497875</v>
      </c>
      <c r="I9" s="39" t="s">
        <v>26</v>
      </c>
      <c r="J9" s="39">
        <v>41275.451799585397</v>
      </c>
      <c r="K9" s="39">
        <v>47923.849416647099</v>
      </c>
      <c r="L9" s="39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78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0.330832312917273</v>
      </c>
      <c r="C10" s="15">
        <f t="shared" ref="C10:D10" si="8">N72</f>
        <v>0.40617203470504598</v>
      </c>
      <c r="D10" s="15">
        <f t="shared" si="8"/>
        <v>0.51839889937234096</v>
      </c>
      <c r="E10" s="15">
        <f>R72</f>
        <v>0.1162334870994209</v>
      </c>
      <c r="I10" s="39" t="s">
        <v>29</v>
      </c>
      <c r="J10" s="39">
        <v>0.51438070849083795</v>
      </c>
      <c r="K10" s="39">
        <v>0.61924416372832103</v>
      </c>
      <c r="L10" s="39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9">L8</f>
        <v>56888.647323322897</v>
      </c>
      <c r="E11" s="15">
        <f t="shared" si="9"/>
        <v>9.2081636909701794E-2</v>
      </c>
      <c r="I11" s="39" t="s">
        <v>28</v>
      </c>
      <c r="J11" s="39">
        <v>0.54650450298650199</v>
      </c>
      <c r="K11" s="39">
        <v>0.64327065144607198</v>
      </c>
      <c r="L11" s="39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39">
        <v>58432.258396471399</v>
      </c>
      <c r="K12" s="39">
        <v>74714.882043804697</v>
      </c>
      <c r="L12" s="39">
        <v>106079.10522955</v>
      </c>
      <c r="M12" s="39">
        <v>0.16048556938288899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11">J15</f>
        <v>105370.342972254</v>
      </c>
      <c r="C14" s="16">
        <f t="shared" si="11"/>
        <v>118318.710854338</v>
      </c>
      <c r="D14" s="16">
        <f t="shared" si="11"/>
        <v>140496.64841492599</v>
      </c>
      <c r="E14" s="15">
        <f t="shared" si="11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11"/>
        <v>54497.204476174898</v>
      </c>
      <c r="C15" s="17">
        <f t="shared" si="11"/>
        <v>75660.092887200401</v>
      </c>
      <c r="D15" s="17">
        <f t="shared" si="11"/>
        <v>101073.785769936</v>
      </c>
      <c r="E15" s="18">
        <f t="shared" si="11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1.3535444286611002E-5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2"/>
      <c r="V16" s="72"/>
      <c r="W16" s="72"/>
      <c r="X16" s="72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2"/>
      <c r="V17" s="72"/>
      <c r="W17" s="72"/>
      <c r="X17" s="72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2"/>
      <c r="V18" s="72"/>
      <c r="W18" s="72"/>
      <c r="X18" s="72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2"/>
      <c r="V19" s="72"/>
      <c r="W19" s="72"/>
      <c r="X19" s="72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2"/>
      <c r="V20" s="72"/>
      <c r="W20" s="72"/>
      <c r="X20" s="72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2"/>
      <c r="V21" s="72"/>
      <c r="W21" s="72"/>
      <c r="X21" s="72"/>
      <c r="Y21" s="72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6.1629444153895001</v>
      </c>
      <c r="K22" s="41">
        <v>1.3876938953950499</v>
      </c>
      <c r="L22" s="41">
        <v>1.80864330786519E-2</v>
      </c>
      <c r="M22" s="41">
        <v>3.7211044305001</v>
      </c>
      <c r="N22" s="41">
        <v>6.0614979539780398</v>
      </c>
      <c r="O22" s="41">
        <v>9.1365904954269404</v>
      </c>
      <c r="P22" s="41">
        <v>1.30334457322831E-2</v>
      </c>
      <c r="Q22" s="41" t="b">
        <v>1</v>
      </c>
      <c r="R22" s="41">
        <f>K22/J22</f>
        <v>0.22516735538451993</v>
      </c>
      <c r="T22" s="6"/>
      <c r="U22" s="72"/>
      <c r="V22" s="72"/>
      <c r="W22" s="72"/>
      <c r="X22" s="72"/>
      <c r="AB22" s="41" t="s">
        <v>41</v>
      </c>
      <c r="AC22" s="41">
        <v>6.3072400049413604</v>
      </c>
      <c r="AD22" s="41">
        <v>1.3800629299234899</v>
      </c>
      <c r="AE22" s="41">
        <v>1.7603942682016201E-2</v>
      </c>
      <c r="AF22" s="41">
        <v>3.9325338015688698</v>
      </c>
      <c r="AG22" s="41">
        <v>6.1958500435167601</v>
      </c>
      <c r="AH22" s="41">
        <v>9.3181458298892803</v>
      </c>
      <c r="AI22" s="41">
        <v>1.27558985176075E-2</v>
      </c>
      <c r="AJ22" s="41" t="b">
        <v>1</v>
      </c>
      <c r="AK22" s="41">
        <f>AD22/AC22</f>
        <v>0.21880615433094189</v>
      </c>
    </row>
    <row r="23" spans="1:37" x14ac:dyDescent="0.3">
      <c r="A23" s="6"/>
      <c r="B23" s="7"/>
      <c r="C23" s="7"/>
      <c r="D23" s="7"/>
      <c r="E23" s="7"/>
      <c r="I23" s="39" t="s">
        <v>42</v>
      </c>
      <c r="J23" s="39">
        <v>4.9394868800472302</v>
      </c>
      <c r="K23" s="39">
        <v>0.831684290592832</v>
      </c>
      <c r="L23" s="39">
        <v>1.0474699507861601E-2</v>
      </c>
      <c r="M23" s="39">
        <v>3.44426669575902</v>
      </c>
      <c r="N23" s="39">
        <v>4.8785162479750896</v>
      </c>
      <c r="O23" s="39">
        <v>6.7456568775144596</v>
      </c>
      <c r="P23" s="39">
        <v>1.25945621750233E-2</v>
      </c>
      <c r="Q23" s="39" t="b">
        <v>1</v>
      </c>
      <c r="R23" s="39">
        <f t="shared" ref="R23:R74" si="12">K23/J23</f>
        <v>0.1683746329912065</v>
      </c>
      <c r="T23" s="6"/>
      <c r="U23" s="72"/>
      <c r="V23" s="72"/>
      <c r="W23" s="72"/>
      <c r="X23" s="72"/>
      <c r="AB23" s="39" t="s">
        <v>42</v>
      </c>
      <c r="AC23" s="39">
        <v>4.9772348309091496</v>
      </c>
      <c r="AD23" s="39">
        <v>0.77909635431197899</v>
      </c>
      <c r="AE23" s="39">
        <v>1.0187272904116701E-2</v>
      </c>
      <c r="AF23" s="39">
        <v>3.6109454272532302</v>
      </c>
      <c r="AG23" s="39">
        <v>4.9200947568497897</v>
      </c>
      <c r="AH23" s="39">
        <v>6.6641918674243001</v>
      </c>
      <c r="AI23" s="39">
        <v>1.30757548122698E-2</v>
      </c>
      <c r="AJ23" s="39" t="b">
        <v>1</v>
      </c>
      <c r="AK23" s="39">
        <f t="shared" ref="AK23:AK74" si="13">AD23/AC23</f>
        <v>0.15653196619812049</v>
      </c>
    </row>
    <row r="24" spans="1:37" x14ac:dyDescent="0.3">
      <c r="A24" s="6"/>
      <c r="B24" s="5"/>
      <c r="C24" s="5"/>
      <c r="D24" s="5"/>
      <c r="E24" s="5"/>
      <c r="I24" s="39" t="s">
        <v>23</v>
      </c>
      <c r="J24" s="39">
        <v>0.13352186330356799</v>
      </c>
      <c r="K24" s="39">
        <v>1.9549599237256601E-2</v>
      </c>
      <c r="L24" s="39">
        <v>2.4918782305015201E-4</v>
      </c>
      <c r="M24" s="39">
        <v>9.4269282055408493E-2</v>
      </c>
      <c r="N24" s="39">
        <v>0.13384214402243499</v>
      </c>
      <c r="O24" s="39">
        <v>0.171138345114143</v>
      </c>
      <c r="P24" s="39">
        <v>1.27464415012285E-2</v>
      </c>
      <c r="Q24" s="39" t="b">
        <v>1</v>
      </c>
      <c r="R24" s="39">
        <f t="shared" si="12"/>
        <v>0.14641496720885105</v>
      </c>
      <c r="T24" s="6"/>
      <c r="U24" s="72"/>
      <c r="V24" s="72"/>
      <c r="W24" s="72"/>
      <c r="X24" s="72"/>
      <c r="AB24" s="39" t="s">
        <v>23</v>
      </c>
      <c r="AC24" s="39">
        <v>0.13535444286611001</v>
      </c>
      <c r="AD24" s="39">
        <v>1.8557922282351098E-2</v>
      </c>
      <c r="AE24" s="39">
        <v>2.40811502661068E-4</v>
      </c>
      <c r="AF24" s="39">
        <v>9.8619177592245894E-2</v>
      </c>
      <c r="AG24" s="39">
        <v>0.13539227012736399</v>
      </c>
      <c r="AH24" s="39">
        <v>0.17175209084020401</v>
      </c>
      <c r="AI24" s="39">
        <v>1.2976210321242901E-2</v>
      </c>
      <c r="AJ24" s="39" t="b">
        <v>1</v>
      </c>
      <c r="AK24" s="39">
        <f t="shared" si="13"/>
        <v>0.13710611849444967</v>
      </c>
    </row>
    <row r="25" spans="1:37" x14ac:dyDescent="0.3">
      <c r="I25" s="39" t="s">
        <v>77</v>
      </c>
      <c r="J25" s="39">
        <v>0.12005579271052701</v>
      </c>
      <c r="K25" s="39">
        <v>0.10854373105318001</v>
      </c>
      <c r="L25" s="39">
        <v>1.39665748077435E-3</v>
      </c>
      <c r="M25" s="39">
        <v>-0.100915859332125</v>
      </c>
      <c r="N25" s="39">
        <v>0.123189503071625</v>
      </c>
      <c r="O25" s="39">
        <v>0.329104894781938</v>
      </c>
      <c r="P25" s="39">
        <v>1.28672330241723E-2</v>
      </c>
      <c r="Q25" s="39" t="b">
        <v>1</v>
      </c>
      <c r="R25" s="39">
        <f t="shared" si="12"/>
        <v>0.90411073553856458</v>
      </c>
      <c r="U25" s="72"/>
      <c r="V25" s="72"/>
      <c r="W25" s="72"/>
      <c r="X25" s="72"/>
      <c r="AB25" s="39" t="s">
        <v>77</v>
      </c>
      <c r="AC25" s="39">
        <v>0.13187008151621701</v>
      </c>
      <c r="AD25" s="39">
        <v>9.6293281157160099E-2</v>
      </c>
      <c r="AE25" s="39">
        <v>1.24305130620002E-3</v>
      </c>
      <c r="AF25" s="39">
        <v>-5.5730825679148097E-2</v>
      </c>
      <c r="AG25" s="39">
        <v>0.13175707799108799</v>
      </c>
      <c r="AH25" s="39">
        <v>0.32047129790839901</v>
      </c>
      <c r="AI25" s="39">
        <v>1.29090139131435E-2</v>
      </c>
      <c r="AJ25" s="39" t="b">
        <v>1</v>
      </c>
      <c r="AK25" s="39">
        <f t="shared" si="13"/>
        <v>0.73021325269536763</v>
      </c>
    </row>
    <row r="26" spans="1:37" x14ac:dyDescent="0.3">
      <c r="I26" s="39" t="s">
        <v>78</v>
      </c>
      <c r="J26" s="39">
        <v>0.56513041775373896</v>
      </c>
      <c r="K26" s="39">
        <v>0.28306567011413902</v>
      </c>
      <c r="L26" s="39">
        <v>3.6448125151838E-3</v>
      </c>
      <c r="M26" s="39">
        <v>-5.5793146729820296E-3</v>
      </c>
      <c r="N26" s="39">
        <v>0.57255751869816596</v>
      </c>
      <c r="O26" s="39">
        <v>1.1150155307838401</v>
      </c>
      <c r="P26" s="39">
        <v>1.28762082442358E-2</v>
      </c>
      <c r="Q26" s="39" t="b">
        <v>1</v>
      </c>
      <c r="R26" s="39">
        <f t="shared" si="12"/>
        <v>0.50088556768764769</v>
      </c>
      <c r="U26" s="72"/>
      <c r="V26" s="72"/>
      <c r="W26" s="72"/>
      <c r="X26" s="72"/>
      <c r="AB26" s="39" t="s">
        <v>78</v>
      </c>
      <c r="AC26" s="39">
        <v>0.59520489583651304</v>
      </c>
      <c r="AD26" s="39">
        <v>0.266264213730804</v>
      </c>
      <c r="AE26" s="39">
        <v>3.4368555655655401E-3</v>
      </c>
      <c r="AF26" s="39">
        <v>7.5918946868908904E-2</v>
      </c>
      <c r="AG26" s="39">
        <v>0.59528504420392503</v>
      </c>
      <c r="AH26" s="39">
        <v>1.11598322486378</v>
      </c>
      <c r="AI26" s="39">
        <v>1.2907688635320101E-2</v>
      </c>
      <c r="AJ26" s="39" t="b">
        <v>1</v>
      </c>
      <c r="AK26" s="39">
        <f t="shared" si="13"/>
        <v>0.44734882994635128</v>
      </c>
    </row>
    <row r="27" spans="1:37" x14ac:dyDescent="0.3">
      <c r="I27" s="39" t="s">
        <v>79</v>
      </c>
      <c r="J27" s="39">
        <v>-0.129716743684023</v>
      </c>
      <c r="K27" s="39">
        <v>0.155941627129733</v>
      </c>
      <c r="L27" s="39">
        <v>2.0063882575468298E-3</v>
      </c>
      <c r="M27" s="39">
        <v>-0.44175651159581197</v>
      </c>
      <c r="N27" s="39">
        <v>-0.124500539925886</v>
      </c>
      <c r="O27" s="39">
        <v>0.173169518604881</v>
      </c>
      <c r="P27" s="39">
        <v>1.28662775583177E-2</v>
      </c>
      <c r="Q27" s="39" t="b">
        <v>1</v>
      </c>
      <c r="R27" s="39">
        <f t="shared" si="12"/>
        <v>-1.2021703806379167</v>
      </c>
      <c r="AB27" s="39" t="s">
        <v>79</v>
      </c>
      <c r="AC27" s="39">
        <v>-0.112423958276113</v>
      </c>
      <c r="AD27" s="39">
        <v>0.143457959777954</v>
      </c>
      <c r="AE27" s="39">
        <v>1.8517840935804899E-3</v>
      </c>
      <c r="AF27" s="39">
        <v>-0.39366136768052501</v>
      </c>
      <c r="AG27" s="39">
        <v>-0.113247342129393</v>
      </c>
      <c r="AH27" s="39">
        <v>0.16300210741753099</v>
      </c>
      <c r="AI27" s="39">
        <v>1.2908200398546701E-2</v>
      </c>
      <c r="AJ27" s="39" t="b">
        <v>1</v>
      </c>
      <c r="AK27" s="39">
        <f t="shared" si="13"/>
        <v>-1.2760443768188767</v>
      </c>
    </row>
    <row r="28" spans="1:37" x14ac:dyDescent="0.3">
      <c r="I28" s="66" t="s">
        <v>80</v>
      </c>
      <c r="J28" s="66">
        <v>-0.328061829360971</v>
      </c>
      <c r="K28" s="66">
        <v>0.12629118356959301</v>
      </c>
      <c r="L28" s="66">
        <v>1.6250008405057699E-3</v>
      </c>
      <c r="M28" s="66">
        <v>-0.57762951903106696</v>
      </c>
      <c r="N28" s="66">
        <v>-0.32390259086835699</v>
      </c>
      <c r="O28" s="66">
        <v>-8.4145461912794497E-2</v>
      </c>
      <c r="P28" s="66">
        <v>1.28670964557895E-2</v>
      </c>
      <c r="Q28" s="66" t="b">
        <v>1</v>
      </c>
      <c r="R28" s="39">
        <f t="shared" si="12"/>
        <v>-0.3849615294031451</v>
      </c>
      <c r="AB28" s="66" t="s">
        <v>80</v>
      </c>
      <c r="AC28" s="66">
        <v>-0.31406860345541798</v>
      </c>
      <c r="AD28" s="66">
        <v>0.114160014818387</v>
      </c>
      <c r="AE28" s="66">
        <v>1.47364518624727E-3</v>
      </c>
      <c r="AF28" s="66">
        <v>-0.53771474396022401</v>
      </c>
      <c r="AG28" s="66">
        <v>-0.31534227305527801</v>
      </c>
      <c r="AH28" s="66">
        <v>-9.0095015060453504E-2</v>
      </c>
      <c r="AI28" s="66">
        <v>1.29085931583982E-2</v>
      </c>
      <c r="AJ28" s="66" t="b">
        <v>1</v>
      </c>
      <c r="AK28" s="39">
        <f t="shared" si="13"/>
        <v>-0.3634875105705751</v>
      </c>
    </row>
    <row r="29" spans="1:37" x14ac:dyDescent="0.3">
      <c r="I29" s="66" t="s">
        <v>81</v>
      </c>
      <c r="J29" s="66">
        <v>-0.20517209879751599</v>
      </c>
      <c r="K29" s="66">
        <v>8.3140340625480494E-2</v>
      </c>
      <c r="L29" s="66">
        <v>1.08500755187865E-3</v>
      </c>
      <c r="M29" s="66">
        <v>-0.376353068712729</v>
      </c>
      <c r="N29" s="66">
        <v>-0.20262954850892401</v>
      </c>
      <c r="O29" s="66">
        <v>-4.8078355845990801E-2</v>
      </c>
      <c r="P29" s="66">
        <v>1.3050314007808201E-2</v>
      </c>
      <c r="Q29" s="66" t="b">
        <v>1</v>
      </c>
      <c r="R29" s="39">
        <f t="shared" si="12"/>
        <v>-0.40522245038557392</v>
      </c>
      <c r="AB29" s="66" t="s">
        <v>81</v>
      </c>
      <c r="AC29" s="66">
        <v>-0.19739943438791399</v>
      </c>
      <c r="AD29" s="66">
        <v>6.9829238210442304E-2</v>
      </c>
      <c r="AE29" s="66">
        <v>9.0151340519119597E-4</v>
      </c>
      <c r="AF29" s="66">
        <v>-0.33534950719359102</v>
      </c>
      <c r="AG29" s="66">
        <v>-0.198015074985607</v>
      </c>
      <c r="AH29" s="66">
        <v>-5.99880608668256E-2</v>
      </c>
      <c r="AI29" s="66">
        <v>1.2910256910927899E-2</v>
      </c>
      <c r="AJ29" s="66" t="b">
        <v>1</v>
      </c>
      <c r="AK29" s="39">
        <f t="shared" si="13"/>
        <v>-0.35374588801110407</v>
      </c>
    </row>
    <row r="30" spans="1:37" x14ac:dyDescent="0.3">
      <c r="I30" s="39" t="s">
        <v>82</v>
      </c>
      <c r="J30" s="39">
        <v>-9.6743515814245298E-2</v>
      </c>
      <c r="K30" s="39">
        <v>8.1168936980642703E-2</v>
      </c>
      <c r="L30" s="39">
        <v>1.04801833682769E-3</v>
      </c>
      <c r="M30" s="39">
        <v>-0.259386900616006</v>
      </c>
      <c r="N30" s="39">
        <v>-9.7162418964309397E-2</v>
      </c>
      <c r="O30" s="39">
        <v>6.1050246654373697E-2</v>
      </c>
      <c r="P30" s="39">
        <v>1.29115690781761E-2</v>
      </c>
      <c r="Q30" s="39" t="b">
        <v>1</v>
      </c>
      <c r="R30" s="39">
        <f t="shared" si="12"/>
        <v>-0.83901165155598711</v>
      </c>
      <c r="AB30" s="39" t="s">
        <v>82</v>
      </c>
      <c r="AC30" s="39">
        <v>-9.5047815063133104E-2</v>
      </c>
      <c r="AD30" s="39">
        <v>6.7614359341387695E-2</v>
      </c>
      <c r="AE30" s="39">
        <v>8.7080275233702195E-4</v>
      </c>
      <c r="AF30" s="39">
        <v>-0.22833796209940299</v>
      </c>
      <c r="AG30" s="39">
        <v>-9.5128971122784706E-2</v>
      </c>
      <c r="AH30" s="39">
        <v>3.9168269703012702E-2</v>
      </c>
      <c r="AI30" s="39">
        <v>1.2878961818454901E-2</v>
      </c>
      <c r="AJ30" s="39" t="b">
        <v>1</v>
      </c>
      <c r="AK30" s="39">
        <f t="shared" si="13"/>
        <v>-0.71137205307114704</v>
      </c>
    </row>
    <row r="31" spans="1:37" x14ac:dyDescent="0.3">
      <c r="I31" s="39" t="s">
        <v>83</v>
      </c>
      <c r="J31" s="39">
        <v>0.122095355172119</v>
      </c>
      <c r="K31" s="39">
        <v>7.5517797265001102E-2</v>
      </c>
      <c r="L31" s="39">
        <v>9.7504421408357996E-4</v>
      </c>
      <c r="M31" s="39">
        <v>-2.9925912673436E-2</v>
      </c>
      <c r="N31" s="39">
        <v>0.12276418239782701</v>
      </c>
      <c r="O31" s="39">
        <v>0.26924759562845202</v>
      </c>
      <c r="P31" s="39">
        <v>1.29114493456692E-2</v>
      </c>
      <c r="Q31" s="39" t="b">
        <v>1</v>
      </c>
      <c r="R31" s="39">
        <f t="shared" si="12"/>
        <v>0.61851490712765389</v>
      </c>
      <c r="AB31" s="39" t="s">
        <v>83</v>
      </c>
      <c r="AC31" s="39">
        <v>0.126306637888733</v>
      </c>
      <c r="AD31" s="39">
        <v>6.1473435604281798E-2</v>
      </c>
      <c r="AE31" s="39">
        <v>7.8368067444711299E-4</v>
      </c>
      <c r="AF31" s="39">
        <v>7.29037601821676E-3</v>
      </c>
      <c r="AG31" s="39">
        <v>0.126365844519541</v>
      </c>
      <c r="AH31" s="39">
        <v>0.247776727011778</v>
      </c>
      <c r="AI31" s="39">
        <v>1.274828170483E-2</v>
      </c>
      <c r="AJ31" s="39" t="b">
        <v>1</v>
      </c>
      <c r="AK31" s="39">
        <f t="shared" si="13"/>
        <v>0.48669995996913035</v>
      </c>
    </row>
    <row r="32" spans="1:37" x14ac:dyDescent="0.3">
      <c r="I32" s="67" t="s">
        <v>84</v>
      </c>
      <c r="J32" s="67">
        <v>-0.63963393083814402</v>
      </c>
      <c r="K32" s="67">
        <v>7.9893233737491104E-2</v>
      </c>
      <c r="L32" s="67">
        <v>1.03154539363632E-3</v>
      </c>
      <c r="M32" s="67">
        <v>-0.80143854227472899</v>
      </c>
      <c r="N32" s="67">
        <v>-0.63977016958961697</v>
      </c>
      <c r="O32" s="67">
        <v>-0.48306703869491502</v>
      </c>
      <c r="P32" s="67">
        <v>1.29115488931855E-2</v>
      </c>
      <c r="Q32" s="67" t="b">
        <v>1</v>
      </c>
      <c r="R32" s="39">
        <f t="shared" si="12"/>
        <v>-0.12490462104285656</v>
      </c>
      <c r="AB32" s="67" t="s">
        <v>84</v>
      </c>
      <c r="AC32" s="67">
        <v>-0.63759535445088</v>
      </c>
      <c r="AD32" s="67">
        <v>6.6236375971094594E-2</v>
      </c>
      <c r="AE32" s="67">
        <v>8.51908582411901E-4</v>
      </c>
      <c r="AF32" s="67">
        <v>-0.76774281821623902</v>
      </c>
      <c r="AG32" s="67">
        <v>-0.63764807306080296</v>
      </c>
      <c r="AH32" s="67">
        <v>-0.50554788691457897</v>
      </c>
      <c r="AI32" s="67">
        <v>1.2861642412073901E-2</v>
      </c>
      <c r="AJ32" s="67" t="b">
        <v>1</v>
      </c>
      <c r="AK32" s="39">
        <f t="shared" si="13"/>
        <v>-0.10388465899055951</v>
      </c>
    </row>
    <row r="33" spans="9:37" x14ac:dyDescent="0.3">
      <c r="I33" s="67" t="s">
        <v>85</v>
      </c>
      <c r="J33" s="67">
        <v>-0.33318796345212598</v>
      </c>
      <c r="K33" s="67">
        <v>8.4005888697519696E-2</v>
      </c>
      <c r="L33" s="67">
        <v>1.08465115002647E-3</v>
      </c>
      <c r="M33" s="67">
        <v>-0.49954190775173701</v>
      </c>
      <c r="N33" s="67">
        <v>-0.33387773560894801</v>
      </c>
      <c r="O33" s="67">
        <v>-0.16993601684908199</v>
      </c>
      <c r="P33" s="67">
        <v>1.29116085413009E-2</v>
      </c>
      <c r="Q33" s="67" t="b">
        <v>1</v>
      </c>
      <c r="R33" s="39">
        <f t="shared" si="12"/>
        <v>-0.25212762137966627</v>
      </c>
      <c r="AB33" s="67" t="s">
        <v>85</v>
      </c>
      <c r="AC33" s="67">
        <v>-0.33214942573214201</v>
      </c>
      <c r="AD33" s="67">
        <v>7.0658371573174006E-2</v>
      </c>
      <c r="AE33" s="67">
        <v>9.1218001581754905E-4</v>
      </c>
      <c r="AF33" s="67">
        <v>-0.47046617694447501</v>
      </c>
      <c r="AG33" s="67">
        <v>-0.33183637578726199</v>
      </c>
      <c r="AH33" s="67">
        <v>-0.190947588270345</v>
      </c>
      <c r="AI33" s="67">
        <v>1.29097231581808E-2</v>
      </c>
      <c r="AJ33" s="67" t="b">
        <v>1</v>
      </c>
      <c r="AK33" s="39">
        <f t="shared" si="13"/>
        <v>-0.2127306751093275</v>
      </c>
    </row>
    <row r="34" spans="9:37" x14ac:dyDescent="0.3">
      <c r="I34" s="67" t="s">
        <v>86</v>
      </c>
      <c r="J34" s="67">
        <v>0.31134474985050298</v>
      </c>
      <c r="K34" s="67">
        <v>9.6182007248815399E-2</v>
      </c>
      <c r="L34" s="67">
        <v>1.25282694732475E-3</v>
      </c>
      <c r="M34" s="67">
        <v>0.11340557665359099</v>
      </c>
      <c r="N34" s="67">
        <v>0.31402174638002101</v>
      </c>
      <c r="O34" s="67">
        <v>0.49380660872146298</v>
      </c>
      <c r="P34" s="67">
        <v>1.30255853788098E-2</v>
      </c>
      <c r="Q34" s="67" t="b">
        <v>1</v>
      </c>
      <c r="R34" s="39">
        <f t="shared" si="12"/>
        <v>0.30892445527023882</v>
      </c>
      <c r="AB34" s="67" t="s">
        <v>86</v>
      </c>
      <c r="AC34" s="67">
        <v>0.32143586409353397</v>
      </c>
      <c r="AD34" s="67">
        <v>8.3596171916891907E-2</v>
      </c>
      <c r="AE34" s="67">
        <v>1.0791828714379001E-3</v>
      </c>
      <c r="AF34" s="67">
        <v>0.1574475260838</v>
      </c>
      <c r="AG34" s="67">
        <v>0.32135999735827597</v>
      </c>
      <c r="AH34" s="67">
        <v>0.48402386170932898</v>
      </c>
      <c r="AI34" s="67">
        <v>1.29094771529824E-2</v>
      </c>
      <c r="AJ34" s="67" t="b">
        <v>1</v>
      </c>
      <c r="AK34" s="39">
        <f t="shared" si="13"/>
        <v>0.26007107872868357</v>
      </c>
    </row>
    <row r="35" spans="9:37" x14ac:dyDescent="0.3">
      <c r="I35" s="67" t="s">
        <v>87</v>
      </c>
      <c r="J35" s="67">
        <v>0.63393156577264398</v>
      </c>
      <c r="K35" s="67">
        <v>7.6226457598326594E-2</v>
      </c>
      <c r="L35" s="67">
        <v>9.8419597993194201E-4</v>
      </c>
      <c r="M35" s="67">
        <v>0.47974265818374301</v>
      </c>
      <c r="N35" s="67">
        <v>0.63484744269635396</v>
      </c>
      <c r="O35" s="67">
        <v>0.78290475425627704</v>
      </c>
      <c r="P35" s="67">
        <v>1.2911474715487099E-2</v>
      </c>
      <c r="Q35" s="67" t="b">
        <v>1</v>
      </c>
      <c r="R35" s="39">
        <f t="shared" si="12"/>
        <v>0.12024398486202656</v>
      </c>
      <c r="AB35" s="67" t="s">
        <v>87</v>
      </c>
      <c r="AC35" s="67">
        <v>0.63741751349840403</v>
      </c>
      <c r="AD35" s="67">
        <v>6.2244597121199001E-2</v>
      </c>
      <c r="AE35" s="67">
        <v>7.9576171055988098E-4</v>
      </c>
      <c r="AF35" s="67">
        <v>0.51743395364224898</v>
      </c>
      <c r="AG35" s="67">
        <v>0.63756896348200998</v>
      </c>
      <c r="AH35" s="67">
        <v>0.75980270709803599</v>
      </c>
      <c r="AI35" s="67">
        <v>1.27844302536077E-2</v>
      </c>
      <c r="AJ35" s="67" t="b">
        <v>1</v>
      </c>
      <c r="AK35" s="39">
        <f t="shared" si="13"/>
        <v>9.7651218868423595E-2</v>
      </c>
    </row>
    <row r="36" spans="9:37" x14ac:dyDescent="0.3">
      <c r="I36" s="67" t="s">
        <v>88</v>
      </c>
      <c r="J36" s="67">
        <v>0.404601867537628</v>
      </c>
      <c r="K36" s="67">
        <v>7.5934083093104204E-2</v>
      </c>
      <c r="L36" s="67">
        <v>9.8042034224000399E-4</v>
      </c>
      <c r="M36" s="67">
        <v>0.25094632068512601</v>
      </c>
      <c r="N36" s="67">
        <v>0.40534634009744602</v>
      </c>
      <c r="O36" s="67">
        <v>0.55383802258070303</v>
      </c>
      <c r="P36" s="67">
        <v>1.2911466133566E-2</v>
      </c>
      <c r="Q36" s="67" t="b">
        <v>1</v>
      </c>
      <c r="R36" s="39">
        <f t="shared" si="12"/>
        <v>0.18767605684875474</v>
      </c>
      <c r="AB36" s="67" t="s">
        <v>88</v>
      </c>
      <c r="AC36" s="67">
        <v>0.40830350987789898</v>
      </c>
      <c r="AD36" s="67">
        <v>6.1925323345252602E-2</v>
      </c>
      <c r="AE36" s="67">
        <v>7.90987149356544E-4</v>
      </c>
      <c r="AF36" s="67">
        <v>0.28842348628859299</v>
      </c>
      <c r="AG36" s="67">
        <v>0.40838444819011399</v>
      </c>
      <c r="AH36" s="67">
        <v>0.53037638588952896</v>
      </c>
      <c r="AI36" s="67">
        <v>1.27732421346684E-2</v>
      </c>
      <c r="AJ36" s="67" t="b">
        <v>1</v>
      </c>
      <c r="AK36" s="39">
        <f t="shared" si="13"/>
        <v>0.15166493024703864</v>
      </c>
    </row>
    <row r="37" spans="9:37" x14ac:dyDescent="0.3">
      <c r="I37" s="67" t="s">
        <v>89</v>
      </c>
      <c r="J37" s="67">
        <v>7.6896087091030393E-2</v>
      </c>
      <c r="K37" s="67">
        <v>9.6669853949126999E-2</v>
      </c>
      <c r="L37" s="67">
        <v>1.24817516568383E-3</v>
      </c>
      <c r="M37" s="67">
        <v>-0.110965541225924</v>
      </c>
      <c r="N37" s="67">
        <v>7.5414971458487301E-2</v>
      </c>
      <c r="O37" s="67">
        <v>0.26875114615899398</v>
      </c>
      <c r="P37" s="67">
        <v>1.29117311622369E-2</v>
      </c>
      <c r="Q37" s="67" t="b">
        <v>1</v>
      </c>
      <c r="R37" s="39">
        <f t="shared" si="12"/>
        <v>1.2571491945316828</v>
      </c>
      <c r="AB37" s="67" t="s">
        <v>89</v>
      </c>
      <c r="AC37" s="67">
        <v>7.5731506358349104E-2</v>
      </c>
      <c r="AD37" s="67">
        <v>8.3963631616258402E-2</v>
      </c>
      <c r="AE37" s="67">
        <v>1.10105652147206E-3</v>
      </c>
      <c r="AF37" s="67">
        <v>-8.8740555752936101E-2</v>
      </c>
      <c r="AG37" s="67">
        <v>7.5585842095986996E-2</v>
      </c>
      <c r="AH37" s="67">
        <v>0.24170233592311999</v>
      </c>
      <c r="AI37" s="67">
        <v>1.31134933098684E-2</v>
      </c>
      <c r="AJ37" s="67" t="b">
        <v>1</v>
      </c>
      <c r="AK37" s="39">
        <f t="shared" si="13"/>
        <v>1.1087014593233657</v>
      </c>
    </row>
    <row r="38" spans="9:37" x14ac:dyDescent="0.3">
      <c r="I38" s="67" t="s">
        <v>90</v>
      </c>
      <c r="J38" s="67">
        <v>-4.4031147017729901E-2</v>
      </c>
      <c r="K38" s="67">
        <v>7.6551521691467797E-2</v>
      </c>
      <c r="L38" s="67">
        <v>9.8838979990611107E-4</v>
      </c>
      <c r="M38" s="67">
        <v>-0.19901472788501301</v>
      </c>
      <c r="N38" s="67">
        <v>-4.1466309851679199E-2</v>
      </c>
      <c r="O38" s="67">
        <v>0.10247154282966001</v>
      </c>
      <c r="P38" s="67">
        <v>1.29114324322605E-2</v>
      </c>
      <c r="Q38" s="67" t="b">
        <v>1</v>
      </c>
      <c r="R38" s="39">
        <f t="shared" si="12"/>
        <v>-1.7385765958048516</v>
      </c>
      <c r="AB38" s="67" t="s">
        <v>90</v>
      </c>
      <c r="AC38" s="67">
        <v>-3.8320916594181097E-2</v>
      </c>
      <c r="AD38" s="67">
        <v>6.2639668790992198E-2</v>
      </c>
      <c r="AE38" s="67">
        <v>7.9521708308194895E-4</v>
      </c>
      <c r="AF38" s="67">
        <v>-0.16203566727025401</v>
      </c>
      <c r="AG38" s="67">
        <v>-3.8667870873515801E-2</v>
      </c>
      <c r="AH38" s="67">
        <v>8.4877689496855604E-2</v>
      </c>
      <c r="AI38" s="67">
        <v>1.26951035730301E-2</v>
      </c>
      <c r="AJ38" s="67" t="b">
        <v>1</v>
      </c>
      <c r="AK38" s="39">
        <f t="shared" si="13"/>
        <v>-1.6346077901618832</v>
      </c>
    </row>
    <row r="39" spans="9:37" x14ac:dyDescent="0.3">
      <c r="I39" s="67" t="s">
        <v>91</v>
      </c>
      <c r="J39" s="67">
        <v>-0.47435832446498299</v>
      </c>
      <c r="K39" s="67">
        <v>7.5539726795183004E-2</v>
      </c>
      <c r="L39" s="67">
        <v>9.7532745575949103E-4</v>
      </c>
      <c r="M39" s="67">
        <v>-0.62721598492417496</v>
      </c>
      <c r="N39" s="67">
        <v>-0.47359687978757797</v>
      </c>
      <c r="O39" s="67">
        <v>-0.32688049741548902</v>
      </c>
      <c r="P39" s="67">
        <v>1.2911450664945799E-2</v>
      </c>
      <c r="Q39" s="67" t="b">
        <v>1</v>
      </c>
      <c r="R39" s="39">
        <f t="shared" si="12"/>
        <v>-0.15924612871584448</v>
      </c>
      <c r="AB39" s="67" t="s">
        <v>91</v>
      </c>
      <c r="AC39" s="67">
        <v>-0.47019368563728697</v>
      </c>
      <c r="AD39" s="67">
        <v>6.1496928231760797E-2</v>
      </c>
      <c r="AE39" s="67">
        <v>7.84114064444129E-4</v>
      </c>
      <c r="AF39" s="67">
        <v>-0.58939324883010402</v>
      </c>
      <c r="AG39" s="67">
        <v>-0.47008497453371101</v>
      </c>
      <c r="AH39" s="67">
        <v>-0.34897885806685502</v>
      </c>
      <c r="AI39" s="67">
        <v>1.2750459039012001E-2</v>
      </c>
      <c r="AJ39" s="67" t="b">
        <v>1</v>
      </c>
      <c r="AK39" s="39">
        <f t="shared" si="13"/>
        <v>-0.13079062971339062</v>
      </c>
    </row>
    <row r="40" spans="9:37" x14ac:dyDescent="0.3">
      <c r="I40" s="67" t="s">
        <v>92</v>
      </c>
      <c r="J40" s="67">
        <v>0.40604054765583603</v>
      </c>
      <c r="K40" s="67">
        <v>7.7719347049033202E-2</v>
      </c>
      <c r="L40" s="67">
        <v>1.01415380076111E-3</v>
      </c>
      <c r="M40" s="67">
        <v>0.24718254491423899</v>
      </c>
      <c r="N40" s="67">
        <v>0.40856424846049899</v>
      </c>
      <c r="O40" s="67">
        <v>0.55367428389612305</v>
      </c>
      <c r="P40" s="67">
        <v>1.3048923328206501E-2</v>
      </c>
      <c r="Q40" s="67" t="b">
        <v>1</v>
      </c>
      <c r="R40" s="39">
        <f t="shared" si="12"/>
        <v>0.19140784706779798</v>
      </c>
      <c r="AB40" s="67" t="s">
        <v>92</v>
      </c>
      <c r="AC40" s="67">
        <v>0.412286331361647</v>
      </c>
      <c r="AD40" s="67">
        <v>6.3931053146296296E-2</v>
      </c>
      <c r="AE40" s="67">
        <v>8.2539573594835004E-4</v>
      </c>
      <c r="AF40" s="67">
        <v>0.28584816647920502</v>
      </c>
      <c r="AG40" s="67">
        <v>0.41180165070056202</v>
      </c>
      <c r="AH40" s="67">
        <v>0.53777143721510101</v>
      </c>
      <c r="AI40" s="67">
        <v>1.2910717019779999E-2</v>
      </c>
      <c r="AJ40" s="67" t="b">
        <v>1</v>
      </c>
      <c r="AK40" s="39">
        <f t="shared" si="13"/>
        <v>0.15506469238296822</v>
      </c>
    </row>
    <row r="41" spans="9:37" x14ac:dyDescent="0.3">
      <c r="I41" s="67" t="s">
        <v>93</v>
      </c>
      <c r="J41" s="67">
        <v>-0.56491317492271498</v>
      </c>
      <c r="K41" s="67">
        <v>7.6220934075666699E-2</v>
      </c>
      <c r="L41" s="67">
        <v>9.8412139244344007E-4</v>
      </c>
      <c r="M41" s="67">
        <v>-0.71887883772612104</v>
      </c>
      <c r="N41" s="67">
        <v>-0.56249800584090703</v>
      </c>
      <c r="O41" s="67">
        <v>-0.41925176028868699</v>
      </c>
      <c r="P41" s="67">
        <v>1.29114318051583E-2</v>
      </c>
      <c r="Q41" s="67" t="b">
        <v>1</v>
      </c>
      <c r="R41" s="39">
        <f t="shared" si="12"/>
        <v>-0.13492504239451378</v>
      </c>
      <c r="AB41" s="67" t="s">
        <v>93</v>
      </c>
      <c r="AC41" s="67">
        <v>-0.55940279527584802</v>
      </c>
      <c r="AD41" s="67">
        <v>6.22720259948914E-2</v>
      </c>
      <c r="AE41" s="67">
        <v>7.9085684339767304E-4</v>
      </c>
      <c r="AF41" s="67">
        <v>-0.68116292485335095</v>
      </c>
      <c r="AG41" s="67">
        <v>-0.55943634362260497</v>
      </c>
      <c r="AH41" s="67">
        <v>-0.43660775565327697</v>
      </c>
      <c r="AI41" s="67">
        <v>1.27000339359852E-2</v>
      </c>
      <c r="AJ41" s="67" t="b">
        <v>1</v>
      </c>
      <c r="AK41" s="39">
        <f t="shared" si="13"/>
        <v>-0.11131876086565556</v>
      </c>
    </row>
    <row r="42" spans="9:37" x14ac:dyDescent="0.3">
      <c r="I42" s="67" t="s">
        <v>94</v>
      </c>
      <c r="J42" s="67">
        <v>-0.47194725114205499</v>
      </c>
      <c r="K42" s="67">
        <v>7.9168004303161094E-2</v>
      </c>
      <c r="L42" s="67">
        <v>1.0221805797975801E-3</v>
      </c>
      <c r="M42" s="67">
        <v>-0.63228416576303503</v>
      </c>
      <c r="N42" s="67">
        <v>-0.47199359657040302</v>
      </c>
      <c r="O42" s="67">
        <v>-0.31572432885953799</v>
      </c>
      <c r="P42" s="67">
        <v>1.2911536532906699E-2</v>
      </c>
      <c r="Q42" s="67" t="b">
        <v>1</v>
      </c>
      <c r="R42" s="39">
        <f t="shared" si="12"/>
        <v>-0.16774756948278466</v>
      </c>
      <c r="AB42" s="67" t="s">
        <v>94</v>
      </c>
      <c r="AC42" s="67">
        <v>-0.46969334739838797</v>
      </c>
      <c r="AD42" s="67">
        <v>6.5450377344432195E-2</v>
      </c>
      <c r="AE42" s="67">
        <v>8.4106482447821095E-4</v>
      </c>
      <c r="AF42" s="67">
        <v>-0.59872077023117898</v>
      </c>
      <c r="AG42" s="67">
        <v>-0.46955374784577197</v>
      </c>
      <c r="AH42" s="67">
        <v>-0.33929659283555702</v>
      </c>
      <c r="AI42" s="67">
        <v>1.28504197928778E-2</v>
      </c>
      <c r="AJ42" s="67" t="b">
        <v>1</v>
      </c>
      <c r="AK42" s="39">
        <f t="shared" si="13"/>
        <v>-0.13934703931183851</v>
      </c>
    </row>
    <row r="43" spans="9:37" x14ac:dyDescent="0.3">
      <c r="I43" s="67" t="s">
        <v>95</v>
      </c>
      <c r="J43" s="67">
        <v>0.16462596763010001</v>
      </c>
      <c r="K43" s="67">
        <v>7.5457774764136606E-2</v>
      </c>
      <c r="L43" s="67">
        <v>9.7426860181237405E-4</v>
      </c>
      <c r="M43" s="67">
        <v>1.1854652704159399E-2</v>
      </c>
      <c r="N43" s="67">
        <v>0.16544513831007401</v>
      </c>
      <c r="O43" s="67">
        <v>0.310107574097505</v>
      </c>
      <c r="P43" s="67">
        <v>1.2911440933127301E-2</v>
      </c>
      <c r="Q43" s="67" t="b">
        <v>1</v>
      </c>
      <c r="R43" s="39">
        <f t="shared" si="12"/>
        <v>0.45835888378000944</v>
      </c>
      <c r="AB43" s="67" t="s">
        <v>95</v>
      </c>
      <c r="AC43" s="67">
        <v>0.169186980655091</v>
      </c>
      <c r="AD43" s="67">
        <v>6.1412852829944797E-2</v>
      </c>
      <c r="AE43" s="67">
        <v>7.8195772348966695E-4</v>
      </c>
      <c r="AF43" s="67">
        <v>5.1009622414064697E-2</v>
      </c>
      <c r="AG43" s="67">
        <v>0.16925835134272299</v>
      </c>
      <c r="AH43" s="67">
        <v>0.290095916431168</v>
      </c>
      <c r="AI43" s="67">
        <v>1.27328024583868E-2</v>
      </c>
      <c r="AJ43" s="67" t="b">
        <v>1</v>
      </c>
      <c r="AK43" s="39">
        <f t="shared" si="13"/>
        <v>0.36298805376249749</v>
      </c>
    </row>
    <row r="44" spans="9:37" x14ac:dyDescent="0.3">
      <c r="I44" s="67" t="s">
        <v>96</v>
      </c>
      <c r="J44" s="67">
        <v>-0.130877245591459</v>
      </c>
      <c r="K44" s="67">
        <v>9.7525172426992796E-2</v>
      </c>
      <c r="L44" s="67">
        <v>1.2592194110336301E-3</v>
      </c>
      <c r="M44" s="67">
        <v>-0.320204864280761</v>
      </c>
      <c r="N44" s="67">
        <v>-0.13238075825930301</v>
      </c>
      <c r="O44" s="67">
        <v>6.3154321603127395E-2</v>
      </c>
      <c r="P44" s="67">
        <v>1.2911737346337699E-2</v>
      </c>
      <c r="Q44" s="67" t="b">
        <v>1</v>
      </c>
      <c r="R44" s="39">
        <f t="shared" si="12"/>
        <v>-0.7451652270511816</v>
      </c>
      <c r="AB44" s="67" t="s">
        <v>96</v>
      </c>
      <c r="AC44" s="67">
        <v>-0.13216922425539601</v>
      </c>
      <c r="AD44" s="67">
        <v>8.4848710321364595E-2</v>
      </c>
      <c r="AE44" s="67">
        <v>1.11258689481667E-3</v>
      </c>
      <c r="AF44" s="67">
        <v>-0.29864183189041998</v>
      </c>
      <c r="AG44" s="67">
        <v>-0.132262972172733</v>
      </c>
      <c r="AH44" s="67">
        <v>3.5594164002001001E-2</v>
      </c>
      <c r="AI44" s="67">
        <v>1.3112596415464001E-2</v>
      </c>
      <c r="AJ44" s="67" t="b">
        <v>1</v>
      </c>
      <c r="AK44" s="39">
        <f t="shared" si="13"/>
        <v>-0.6419702529040191</v>
      </c>
    </row>
    <row r="45" spans="9:37" x14ac:dyDescent="0.3">
      <c r="I45" s="67" t="s">
        <v>97</v>
      </c>
      <c r="J45" s="67">
        <v>-0.113206750346595</v>
      </c>
      <c r="K45" s="67">
        <v>8.0608749865926005E-2</v>
      </c>
      <c r="L45" s="67">
        <v>1.04078474554378E-3</v>
      </c>
      <c r="M45" s="67">
        <v>-0.27519625026843503</v>
      </c>
      <c r="N45" s="67">
        <v>-0.113454571865827</v>
      </c>
      <c r="O45" s="67">
        <v>4.3520200292744997E-2</v>
      </c>
      <c r="P45" s="67">
        <v>1.29115604357453E-2</v>
      </c>
      <c r="Q45" s="67" t="b">
        <v>1</v>
      </c>
      <c r="R45" s="39">
        <f t="shared" si="12"/>
        <v>-0.71204896898050152</v>
      </c>
      <c r="AB45" s="67" t="s">
        <v>97</v>
      </c>
      <c r="AC45" s="67">
        <v>-0.11136527360160101</v>
      </c>
      <c r="AD45" s="67">
        <v>6.7009979822400201E-2</v>
      </c>
      <c r="AE45" s="67">
        <v>8.6253172600417403E-4</v>
      </c>
      <c r="AF45" s="67">
        <v>-0.243526676317455</v>
      </c>
      <c r="AG45" s="67">
        <v>-0.1113067417789</v>
      </c>
      <c r="AH45" s="67">
        <v>2.25050718658334E-2</v>
      </c>
      <c r="AI45" s="67">
        <v>1.2871690579376101E-2</v>
      </c>
      <c r="AJ45" s="67" t="b">
        <v>1</v>
      </c>
      <c r="AK45" s="39">
        <f t="shared" si="13"/>
        <v>-0.60171342156552521</v>
      </c>
    </row>
    <row r="46" spans="9:37" x14ac:dyDescent="0.3">
      <c r="I46" s="67" t="s">
        <v>98</v>
      </c>
      <c r="J46" s="67">
        <v>4.0880174611962498E-3</v>
      </c>
      <c r="K46" s="67">
        <v>0.104761442377799</v>
      </c>
      <c r="L46" s="67">
        <v>1.3526569695528599E-3</v>
      </c>
      <c r="M46" s="67">
        <v>-0.19971193832463899</v>
      </c>
      <c r="N46" s="67">
        <v>2.1463906154615101E-3</v>
      </c>
      <c r="O46" s="67">
        <v>0.21690189299424301</v>
      </c>
      <c r="P46" s="67">
        <v>1.29117826067609E-2</v>
      </c>
      <c r="Q46" s="67" t="b">
        <v>1</v>
      </c>
      <c r="R46" s="39">
        <f t="shared" si="12"/>
        <v>25.626466465029075</v>
      </c>
      <c r="AB46" s="67" t="s">
        <v>98</v>
      </c>
      <c r="AC46" s="67">
        <v>1.7755489837140801E-3</v>
      </c>
      <c r="AD46" s="67">
        <v>9.2283587665042494E-2</v>
      </c>
      <c r="AE46" s="67">
        <v>1.2093540853704301E-3</v>
      </c>
      <c r="AF46" s="67">
        <v>-0.17934198747127</v>
      </c>
      <c r="AG46" s="67">
        <v>1.66280104172678E-3</v>
      </c>
      <c r="AH46" s="67">
        <v>0.183117477567352</v>
      </c>
      <c r="AI46" s="67">
        <v>1.3104758017860801E-2</v>
      </c>
      <c r="AJ46" s="67" t="b">
        <v>1</v>
      </c>
      <c r="AK46" s="39">
        <f t="shared" si="13"/>
        <v>51.974678542522874</v>
      </c>
    </row>
    <row r="47" spans="9:37" x14ac:dyDescent="0.3">
      <c r="I47" s="67" t="s">
        <v>99</v>
      </c>
      <c r="J47" s="67">
        <v>0.46379285518997798</v>
      </c>
      <c r="K47" s="67">
        <v>9.2103680791263201E-2</v>
      </c>
      <c r="L47" s="67">
        <v>1.1892145814661301E-3</v>
      </c>
      <c r="M47" s="67">
        <v>0.28159001209845202</v>
      </c>
      <c r="N47" s="67">
        <v>0.46244636190844002</v>
      </c>
      <c r="O47" s="67">
        <v>0.64489322371648194</v>
      </c>
      <c r="P47" s="67">
        <v>1.2911694421434399E-2</v>
      </c>
      <c r="Q47" s="67" t="b">
        <v>1</v>
      </c>
      <c r="R47" s="39">
        <f t="shared" si="12"/>
        <v>0.19858796822891087</v>
      </c>
      <c r="AB47" s="67" t="s">
        <v>99</v>
      </c>
      <c r="AC47" s="67">
        <v>0.46334177996931403</v>
      </c>
      <c r="AD47" s="67">
        <v>7.9212506381834594E-2</v>
      </c>
      <c r="AE47" s="67">
        <v>1.0144883156220201E-3</v>
      </c>
      <c r="AF47" s="67">
        <v>0.30704120285221198</v>
      </c>
      <c r="AG47" s="67">
        <v>0.46311678811388002</v>
      </c>
      <c r="AH47" s="67">
        <v>0.61959226539544499</v>
      </c>
      <c r="AI47" s="67">
        <v>1.28071735381254E-2</v>
      </c>
      <c r="AJ47" s="67" t="b">
        <v>1</v>
      </c>
      <c r="AK47" s="39">
        <f t="shared" si="13"/>
        <v>0.17095912737910368</v>
      </c>
    </row>
    <row r="48" spans="9:37" x14ac:dyDescent="0.3">
      <c r="I48" s="67" t="s">
        <v>100</v>
      </c>
      <c r="J48" s="67">
        <v>-0.29474431828705699</v>
      </c>
      <c r="K48" s="67">
        <v>8.0680604560913305E-2</v>
      </c>
      <c r="L48" s="67">
        <v>1.04171259270683E-3</v>
      </c>
      <c r="M48" s="67">
        <v>-0.45680898245124402</v>
      </c>
      <c r="N48" s="67">
        <v>-0.29507011757858498</v>
      </c>
      <c r="O48" s="67">
        <v>-0.13786490780249</v>
      </c>
      <c r="P48" s="67">
        <v>1.2911561562734101E-2</v>
      </c>
      <c r="Q48" s="67" t="b">
        <v>1</v>
      </c>
      <c r="R48" s="39">
        <f t="shared" si="12"/>
        <v>-0.27373082212338679</v>
      </c>
      <c r="AB48" s="67" t="s">
        <v>100</v>
      </c>
      <c r="AC48" s="67">
        <v>-0.29292192626019697</v>
      </c>
      <c r="AD48" s="67">
        <v>6.7087565850361894E-2</v>
      </c>
      <c r="AE48" s="67">
        <v>8.6359479894300298E-4</v>
      </c>
      <c r="AF48" s="67">
        <v>-0.42516570371465301</v>
      </c>
      <c r="AG48" s="67">
        <v>-0.29289712400409901</v>
      </c>
      <c r="AH48" s="67">
        <v>-0.158697324553909</v>
      </c>
      <c r="AI48" s="67">
        <v>1.2872650661811799E-2</v>
      </c>
      <c r="AJ48" s="67" t="b">
        <v>1</v>
      </c>
      <c r="AK48" s="39">
        <f t="shared" si="13"/>
        <v>-0.2290288293091767</v>
      </c>
    </row>
    <row r="49" spans="9:37" x14ac:dyDescent="0.3">
      <c r="I49" s="67" t="s">
        <v>101</v>
      </c>
      <c r="J49" s="67">
        <v>-0.354596697657731</v>
      </c>
      <c r="K49" s="67">
        <v>0.107620132134898</v>
      </c>
      <c r="L49" s="67">
        <v>1.38956936091309E-3</v>
      </c>
      <c r="M49" s="67">
        <v>-0.56328069188911001</v>
      </c>
      <c r="N49" s="67">
        <v>-0.35701195281086001</v>
      </c>
      <c r="O49" s="67">
        <v>-0.135707441598271</v>
      </c>
      <c r="P49" s="67">
        <v>1.29117975730722E-2</v>
      </c>
      <c r="Q49" s="67" t="b">
        <v>1</v>
      </c>
      <c r="R49" s="39">
        <f t="shared" si="12"/>
        <v>-0.30350009699970948</v>
      </c>
      <c r="AB49" s="67" t="s">
        <v>101</v>
      </c>
      <c r="AC49" s="67">
        <v>-0.35729007837127202</v>
      </c>
      <c r="AD49" s="67">
        <v>9.5197559442167207E-2</v>
      </c>
      <c r="AE49" s="67">
        <v>1.24724600019938E-3</v>
      </c>
      <c r="AF49" s="67">
        <v>-0.54470176656157798</v>
      </c>
      <c r="AG49" s="67">
        <v>-0.35721081312409703</v>
      </c>
      <c r="AH49" s="67">
        <v>-0.170394995716176</v>
      </c>
      <c r="AI49" s="67">
        <v>1.310165940711E-2</v>
      </c>
      <c r="AJ49" s="67" t="b">
        <v>1</v>
      </c>
      <c r="AK49" s="39">
        <f t="shared" si="13"/>
        <v>-0.26644333331653347</v>
      </c>
    </row>
    <row r="50" spans="9:37" x14ac:dyDescent="0.3">
      <c r="I50" s="67" t="s">
        <v>102</v>
      </c>
      <c r="J50" s="67">
        <v>0.43815963736359997</v>
      </c>
      <c r="K50" s="67">
        <v>8.1060603798667294E-2</v>
      </c>
      <c r="L50" s="67">
        <v>1.04661945202476E-3</v>
      </c>
      <c r="M50" s="67">
        <v>0.27574195947764002</v>
      </c>
      <c r="N50" s="67">
        <v>0.43773890565950102</v>
      </c>
      <c r="O50" s="67">
        <v>0.59583560867482299</v>
      </c>
      <c r="P50" s="67">
        <v>1.29115674319954E-2</v>
      </c>
      <c r="Q50" s="67" t="b">
        <v>1</v>
      </c>
      <c r="R50" s="39">
        <f t="shared" si="12"/>
        <v>0.18500244405533961</v>
      </c>
      <c r="AB50" s="67" t="s">
        <v>102</v>
      </c>
      <c r="AC50" s="67">
        <v>0.43988300985352802</v>
      </c>
      <c r="AD50" s="67">
        <v>6.7497567289512797E-2</v>
      </c>
      <c r="AE50" s="67">
        <v>8.6920618632701401E-4</v>
      </c>
      <c r="AF50" s="67">
        <v>0.30667192387957998</v>
      </c>
      <c r="AG50" s="67">
        <v>0.43982299086749699</v>
      </c>
      <c r="AH50" s="67">
        <v>0.57402207591784904</v>
      </c>
      <c r="AI50" s="67">
        <v>1.28775927967713E-2</v>
      </c>
      <c r="AJ50" s="67" t="b">
        <v>1</v>
      </c>
      <c r="AK50" s="39">
        <f t="shared" si="13"/>
        <v>0.15344436083582336</v>
      </c>
    </row>
    <row r="51" spans="9:37" x14ac:dyDescent="0.3">
      <c r="I51" s="67" t="s">
        <v>103</v>
      </c>
      <c r="J51" s="67">
        <v>0.36045590308291803</v>
      </c>
      <c r="K51" s="67">
        <v>7.6803259852463293E-2</v>
      </c>
      <c r="L51" s="67">
        <v>9.9164446767128502E-4</v>
      </c>
      <c r="M51" s="67">
        <v>0.20545477118064301</v>
      </c>
      <c r="N51" s="67">
        <v>0.361376932511913</v>
      </c>
      <c r="O51" s="67">
        <v>0.51112724758821204</v>
      </c>
      <c r="P51" s="67">
        <v>1.2911489298451701E-2</v>
      </c>
      <c r="Q51" s="67" t="b">
        <v>1</v>
      </c>
      <c r="R51" s="39">
        <f t="shared" si="12"/>
        <v>0.21307255393954733</v>
      </c>
      <c r="AB51" s="67" t="s">
        <v>103</v>
      </c>
      <c r="AC51" s="67">
        <v>0.36361279682844699</v>
      </c>
      <c r="AD51" s="67">
        <v>6.2874887066198801E-2</v>
      </c>
      <c r="AE51" s="67">
        <v>8.0492026315250899E-4</v>
      </c>
      <c r="AF51" s="67">
        <v>0.24207754655824601</v>
      </c>
      <c r="AG51" s="67">
        <v>0.36412481211029901</v>
      </c>
      <c r="AH51" s="67">
        <v>0.48712400144476797</v>
      </c>
      <c r="AI51" s="67">
        <v>1.2801935728409901E-2</v>
      </c>
      <c r="AJ51" s="67" t="b">
        <v>1</v>
      </c>
      <c r="AK51" s="39">
        <f t="shared" si="13"/>
        <v>0.17291714597124935</v>
      </c>
    </row>
    <row r="52" spans="9:37" x14ac:dyDescent="0.3">
      <c r="I52" s="67" t="s">
        <v>104</v>
      </c>
      <c r="J52" s="67">
        <v>-0.83367102502052803</v>
      </c>
      <c r="K52" s="67">
        <v>7.6973542176062004E-2</v>
      </c>
      <c r="L52" s="67">
        <v>1.0041840974872201E-3</v>
      </c>
      <c r="M52" s="67">
        <v>-0.99106205821654003</v>
      </c>
      <c r="N52" s="67">
        <v>-0.830984816246365</v>
      </c>
      <c r="O52" s="67">
        <v>-0.68609783692525605</v>
      </c>
      <c r="P52" s="67">
        <v>1.30458345698882E-2</v>
      </c>
      <c r="Q52" s="67" t="b">
        <v>1</v>
      </c>
      <c r="R52" s="39">
        <f t="shared" si="12"/>
        <v>-9.2330835384577065E-2</v>
      </c>
      <c r="AB52" s="67" t="s">
        <v>104</v>
      </c>
      <c r="AC52" s="67">
        <v>-0.82774484755196298</v>
      </c>
      <c r="AD52" s="67">
        <v>6.3107508479142094E-2</v>
      </c>
      <c r="AE52" s="67">
        <v>8.1476746365072501E-4</v>
      </c>
      <c r="AF52" s="67">
        <v>-0.95268274168327305</v>
      </c>
      <c r="AG52" s="67">
        <v>-0.82787907124862503</v>
      </c>
      <c r="AH52" s="67">
        <v>-0.70361448267517002</v>
      </c>
      <c r="AI52" s="67">
        <v>1.2910784838226001E-2</v>
      </c>
      <c r="AJ52" s="67" t="b">
        <v>1</v>
      </c>
      <c r="AK52" s="39">
        <f t="shared" si="13"/>
        <v>-7.6240291517103542E-2</v>
      </c>
    </row>
    <row r="53" spans="9:37" x14ac:dyDescent="0.3">
      <c r="I53" s="67" t="s">
        <v>105</v>
      </c>
      <c r="J53" s="67">
        <v>-8.4198354850213097E-2</v>
      </c>
      <c r="K53" s="67">
        <v>0.10371323954511601</v>
      </c>
      <c r="L53" s="67">
        <v>1.33912219457676E-3</v>
      </c>
      <c r="M53" s="67">
        <v>-0.28578160137193198</v>
      </c>
      <c r="N53" s="67">
        <v>-8.6103065727508393E-2</v>
      </c>
      <c r="O53" s="67">
        <v>0.126167809118962</v>
      </c>
      <c r="P53" s="67">
        <v>1.2911776745670201E-2</v>
      </c>
      <c r="Q53" s="67" t="b">
        <v>1</v>
      </c>
      <c r="R53" s="39">
        <f t="shared" si="12"/>
        <v>-1.2317727552945592</v>
      </c>
      <c r="AB53" s="67" t="s">
        <v>105</v>
      </c>
      <c r="AC53" s="67">
        <v>-8.6368400934254103E-2</v>
      </c>
      <c r="AD53" s="67">
        <v>9.1212049231435804E-2</v>
      </c>
      <c r="AE53" s="67">
        <v>1.1954161219656801E-3</v>
      </c>
      <c r="AF53" s="67">
        <v>-0.26481749710798402</v>
      </c>
      <c r="AG53" s="67">
        <v>-8.6516197050333005E-2</v>
      </c>
      <c r="AH53" s="67">
        <v>9.3149517550032798E-2</v>
      </c>
      <c r="AI53" s="67">
        <v>1.31059013807759E-2</v>
      </c>
      <c r="AJ53" s="67" t="b">
        <v>1</v>
      </c>
      <c r="AK53" s="39">
        <f t="shared" si="13"/>
        <v>-1.0560812547735927</v>
      </c>
    </row>
    <row r="54" spans="9:37" x14ac:dyDescent="0.3">
      <c r="I54" s="67" t="s">
        <v>106</v>
      </c>
      <c r="J54" s="67">
        <v>0.50117337778188398</v>
      </c>
      <c r="K54" s="67">
        <v>7.5684250966985403E-2</v>
      </c>
      <c r="L54" s="67">
        <v>9.7719398010471408E-4</v>
      </c>
      <c r="M54" s="67">
        <v>0.34842007171136102</v>
      </c>
      <c r="N54" s="67">
        <v>0.50180107526968498</v>
      </c>
      <c r="O54" s="67">
        <v>0.64920937859013395</v>
      </c>
      <c r="P54" s="67">
        <v>1.29114573721682E-2</v>
      </c>
      <c r="Q54" s="67" t="b">
        <v>1</v>
      </c>
      <c r="R54" s="39">
        <f t="shared" si="12"/>
        <v>0.15101410873409163</v>
      </c>
      <c r="AB54" s="67" t="s">
        <v>106</v>
      </c>
      <c r="AC54" s="67">
        <v>0.50512154490619898</v>
      </c>
      <c r="AD54" s="67">
        <v>6.1653226239006202E-2</v>
      </c>
      <c r="AE54" s="67">
        <v>7.8674856398032597E-4</v>
      </c>
      <c r="AF54" s="67">
        <v>0.38507608758515999</v>
      </c>
      <c r="AG54" s="67">
        <v>0.50534209085854198</v>
      </c>
      <c r="AH54" s="67">
        <v>0.62685466507346899</v>
      </c>
      <c r="AI54" s="67">
        <v>1.2760866088830401E-2</v>
      </c>
      <c r="AJ54" s="67" t="b">
        <v>1</v>
      </c>
      <c r="AK54" s="39">
        <f t="shared" si="13"/>
        <v>0.12205621965789482</v>
      </c>
    </row>
    <row r="55" spans="9:37" x14ac:dyDescent="0.3">
      <c r="I55" s="67" t="s">
        <v>107</v>
      </c>
      <c r="J55" s="67">
        <v>-0.32375204859339402</v>
      </c>
      <c r="K55" s="67">
        <v>7.7081636039469006E-2</v>
      </c>
      <c r="L55" s="67">
        <v>1.0056372693447999E-3</v>
      </c>
      <c r="M55" s="67">
        <v>-0.481936200263618</v>
      </c>
      <c r="N55" s="67">
        <v>-0.32096970696195298</v>
      </c>
      <c r="O55" s="67">
        <v>-0.17647348215244099</v>
      </c>
      <c r="P55" s="67">
        <v>1.30463923836524E-2</v>
      </c>
      <c r="Q55" s="67" t="b">
        <v>1</v>
      </c>
      <c r="R55" s="39">
        <f t="shared" si="12"/>
        <v>-0.23808848893579423</v>
      </c>
      <c r="AB55" s="67" t="s">
        <v>107</v>
      </c>
      <c r="AC55" s="67">
        <v>-0.317775461570794</v>
      </c>
      <c r="AD55" s="67">
        <v>6.3227109734681805E-2</v>
      </c>
      <c r="AE55" s="67">
        <v>8.1631099232387704E-4</v>
      </c>
      <c r="AF55" s="67">
        <v>-0.44290935275404503</v>
      </c>
      <c r="AG55" s="67">
        <v>-0.31802050630685302</v>
      </c>
      <c r="AH55" s="67">
        <v>-0.19350709978330799</v>
      </c>
      <c r="AI55" s="67">
        <v>1.29107750733719E-2</v>
      </c>
      <c r="AJ55" s="67" t="b">
        <v>1</v>
      </c>
      <c r="AK55" s="39">
        <f t="shared" si="13"/>
        <v>-0.19896787946477759</v>
      </c>
    </row>
    <row r="56" spans="9:37" x14ac:dyDescent="0.3">
      <c r="I56" s="67" t="s">
        <v>108</v>
      </c>
      <c r="J56" s="67">
        <v>0.35783554441628401</v>
      </c>
      <c r="K56" s="67">
        <v>8.2558789121462695E-2</v>
      </c>
      <c r="L56" s="67">
        <v>1.0659651725040201E-3</v>
      </c>
      <c r="M56" s="67">
        <v>0.19410792862244799</v>
      </c>
      <c r="N56" s="67">
        <v>0.35712946794912898</v>
      </c>
      <c r="O56" s="67">
        <v>0.51866836105320802</v>
      </c>
      <c r="P56" s="67">
        <v>1.29115892305027E-2</v>
      </c>
      <c r="Q56" s="67" t="b">
        <v>1</v>
      </c>
      <c r="R56" s="39">
        <f t="shared" si="12"/>
        <v>0.23071712804868497</v>
      </c>
      <c r="AB56" s="67" t="s">
        <v>108</v>
      </c>
      <c r="AC56" s="67">
        <v>0.35919489329641002</v>
      </c>
      <c r="AD56" s="67">
        <v>6.9109078289650502E-2</v>
      </c>
      <c r="AE56" s="67">
        <v>8.9117161092190905E-4</v>
      </c>
      <c r="AF56" s="67">
        <v>0.22325922902218301</v>
      </c>
      <c r="AG56" s="67">
        <v>0.35920039767053202</v>
      </c>
      <c r="AH56" s="67">
        <v>0.49732038995428102</v>
      </c>
      <c r="AI56" s="67">
        <v>1.2895145369857501E-2</v>
      </c>
      <c r="AJ56" s="67" t="b">
        <v>1</v>
      </c>
      <c r="AK56" s="39">
        <f t="shared" si="13"/>
        <v>0.192399946601193</v>
      </c>
    </row>
    <row r="57" spans="9:37" x14ac:dyDescent="0.3">
      <c r="I57" s="67" t="s">
        <v>109</v>
      </c>
      <c r="J57" s="67">
        <v>0.39111057937696198</v>
      </c>
      <c r="K57" s="67">
        <v>0.119543701200616</v>
      </c>
      <c r="L57" s="67">
        <v>1.5435299941886501E-3</v>
      </c>
      <c r="M57" s="67">
        <v>0.16096976666613</v>
      </c>
      <c r="N57" s="67">
        <v>0.38940482665715198</v>
      </c>
      <c r="O57" s="67">
        <v>0.63448467242740503</v>
      </c>
      <c r="P57" s="67">
        <v>1.29118471210652E-2</v>
      </c>
      <c r="Q57" s="67" t="b">
        <v>1</v>
      </c>
      <c r="R57" s="39">
        <f t="shared" si="12"/>
        <v>0.3056519242998969</v>
      </c>
      <c r="AB57" s="67" t="s">
        <v>109</v>
      </c>
      <c r="AC57" s="67">
        <v>0.38691887273240699</v>
      </c>
      <c r="AD57" s="67">
        <v>0.107239287979186</v>
      </c>
      <c r="AE57" s="67">
        <v>1.4037016261892201E-3</v>
      </c>
      <c r="AF57" s="67">
        <v>0.17733432571010799</v>
      </c>
      <c r="AG57" s="67">
        <v>0.38665395926037099</v>
      </c>
      <c r="AH57" s="67">
        <v>0.59653365830449101</v>
      </c>
      <c r="AI57" s="67">
        <v>1.3089434410098501E-2</v>
      </c>
      <c r="AJ57" s="67" t="b">
        <v>1</v>
      </c>
      <c r="AK57" s="39">
        <f t="shared" si="13"/>
        <v>0.27716220514617457</v>
      </c>
    </row>
    <row r="58" spans="9:37" x14ac:dyDescent="0.3">
      <c r="I58" s="67" t="s">
        <v>110</v>
      </c>
      <c r="J58" s="67">
        <v>0.70600194733904198</v>
      </c>
      <c r="K58" s="67">
        <v>7.8135087066413395E-2</v>
      </c>
      <c r="L58" s="67">
        <v>1.0196668003787501E-3</v>
      </c>
      <c r="M58" s="67">
        <v>0.54699442177219504</v>
      </c>
      <c r="N58" s="67">
        <v>0.70858631471042899</v>
      </c>
      <c r="O58" s="67">
        <v>0.85367671086799501</v>
      </c>
      <c r="P58" s="67">
        <v>1.3050050094806399E-2</v>
      </c>
      <c r="Q58" s="67" t="b">
        <v>1</v>
      </c>
      <c r="R58" s="39">
        <f t="shared" si="12"/>
        <v>0.11067262259106876</v>
      </c>
      <c r="AB58" s="67" t="s">
        <v>110</v>
      </c>
      <c r="AC58" s="67">
        <v>0.71240382095044996</v>
      </c>
      <c r="AD58" s="67">
        <v>6.4388581643121501E-2</v>
      </c>
      <c r="AE58" s="67">
        <v>8.3130031840601205E-4</v>
      </c>
      <c r="AF58" s="67">
        <v>0.58447972995716901</v>
      </c>
      <c r="AG58" s="67">
        <v>0.71195355228141299</v>
      </c>
      <c r="AH58" s="67">
        <v>0.83902355041218601</v>
      </c>
      <c r="AI58" s="67">
        <v>1.2910679148261999E-2</v>
      </c>
      <c r="AJ58" s="67" t="b">
        <v>1</v>
      </c>
      <c r="AK58" s="39">
        <f t="shared" si="13"/>
        <v>9.0382139665137959E-2</v>
      </c>
    </row>
    <row r="59" spans="9:37" x14ac:dyDescent="0.3">
      <c r="I59" s="67" t="s">
        <v>111</v>
      </c>
      <c r="J59" s="67">
        <v>-6.8591954044308803E-2</v>
      </c>
      <c r="K59" s="67">
        <v>8.4875369100095993E-2</v>
      </c>
      <c r="L59" s="67">
        <v>1.0958784653245801E-3</v>
      </c>
      <c r="M59" s="67">
        <v>-0.23746688226974799</v>
      </c>
      <c r="N59" s="67">
        <v>-6.9296585280891804E-2</v>
      </c>
      <c r="O59" s="67">
        <v>9.6135510062282506E-2</v>
      </c>
      <c r="P59" s="67">
        <v>1.29116194361662E-2</v>
      </c>
      <c r="Q59" s="67" t="b">
        <v>1</v>
      </c>
      <c r="R59" s="39">
        <f t="shared" si="12"/>
        <v>-1.2373954100399076</v>
      </c>
      <c r="AB59" s="67" t="s">
        <v>111</v>
      </c>
      <c r="AC59" s="67">
        <v>-6.7735033216575896E-2</v>
      </c>
      <c r="AD59" s="67">
        <v>7.1585966634460096E-2</v>
      </c>
      <c r="AE59" s="67">
        <v>9.2471717947604202E-4</v>
      </c>
      <c r="AF59" s="67">
        <v>-0.20758709783738899</v>
      </c>
      <c r="AG59" s="67">
        <v>-6.7616915327334895E-2</v>
      </c>
      <c r="AH59" s="67">
        <v>7.4686687396960397E-2</v>
      </c>
      <c r="AI59" s="67">
        <v>1.2917576208727201E-2</v>
      </c>
      <c r="AJ59" s="67" t="b">
        <v>1</v>
      </c>
      <c r="AK59" s="39">
        <f t="shared" si="13"/>
        <v>-1.0568529051365669</v>
      </c>
    </row>
    <row r="60" spans="9:37" x14ac:dyDescent="0.3">
      <c r="I60" s="67" t="s">
        <v>112</v>
      </c>
      <c r="J60" s="67">
        <v>0.118569823396938</v>
      </c>
      <c r="K60" s="67">
        <v>8.0464231164288094E-2</v>
      </c>
      <c r="L60" s="67">
        <v>1.0502347371743001E-3</v>
      </c>
      <c r="M60" s="67">
        <v>-4.6492688606887697E-2</v>
      </c>
      <c r="N60" s="67">
        <v>0.12086228598218</v>
      </c>
      <c r="O60" s="67">
        <v>0.27157328779262102</v>
      </c>
      <c r="P60" s="67">
        <v>1.3052193775765801E-2</v>
      </c>
      <c r="Q60" s="67" t="b">
        <v>1</v>
      </c>
      <c r="R60" s="39">
        <f t="shared" si="12"/>
        <v>0.67862318471131367</v>
      </c>
      <c r="AB60" s="67" t="s">
        <v>112</v>
      </c>
      <c r="AC60" s="67">
        <v>0.12568957605029099</v>
      </c>
      <c r="AD60" s="67">
        <v>6.6934626526610905E-2</v>
      </c>
      <c r="AE60" s="67">
        <v>8.6415771868836799E-4</v>
      </c>
      <c r="AF60" s="67">
        <v>-5.7742472980398599E-3</v>
      </c>
      <c r="AG60" s="67">
        <v>0.125245449661367</v>
      </c>
      <c r="AH60" s="67">
        <v>0.25746596339210398</v>
      </c>
      <c r="AI60" s="67">
        <v>1.29104734504615E-2</v>
      </c>
      <c r="AJ60" s="67" t="b">
        <v>1</v>
      </c>
      <c r="AK60" s="39">
        <f t="shared" si="13"/>
        <v>0.53253920197669358</v>
      </c>
    </row>
    <row r="61" spans="9:37" x14ac:dyDescent="0.3">
      <c r="I61" s="67" t="s">
        <v>113</v>
      </c>
      <c r="J61" s="67">
        <v>-0.278550495810236</v>
      </c>
      <c r="K61" s="67">
        <v>7.98922511599435E-2</v>
      </c>
      <c r="L61" s="67">
        <v>1.0315327057382299E-3</v>
      </c>
      <c r="M61" s="67">
        <v>-0.44035438361333401</v>
      </c>
      <c r="N61" s="67">
        <v>-0.27868526357972201</v>
      </c>
      <c r="O61" s="67">
        <v>-0.121985334943137</v>
      </c>
      <c r="P61" s="67">
        <v>1.29115488769131E-2</v>
      </c>
      <c r="Q61" s="67" t="b">
        <v>1</v>
      </c>
      <c r="R61" s="39">
        <f t="shared" si="12"/>
        <v>-0.28681424862503391</v>
      </c>
      <c r="AB61" s="67" t="s">
        <v>113</v>
      </c>
      <c r="AC61" s="67">
        <v>-0.27651163916108201</v>
      </c>
      <c r="AD61" s="67">
        <v>6.6235312350933606E-2</v>
      </c>
      <c r="AE61" s="67">
        <v>8.5189394536023795E-4</v>
      </c>
      <c r="AF61" s="67">
        <v>-0.40665634069651502</v>
      </c>
      <c r="AG61" s="67">
        <v>-0.27656734421184298</v>
      </c>
      <c r="AH61" s="67">
        <v>-0.144463357486383</v>
      </c>
      <c r="AI61" s="67">
        <v>1.28616279613307E-2</v>
      </c>
      <c r="AJ61" s="67" t="b">
        <v>1</v>
      </c>
      <c r="AK61" s="39">
        <f t="shared" si="13"/>
        <v>-0.23953896679317788</v>
      </c>
    </row>
    <row r="62" spans="9:37" x14ac:dyDescent="0.3">
      <c r="I62" s="67" t="s">
        <v>114</v>
      </c>
      <c r="J62" s="67">
        <v>-0.23131125629954799</v>
      </c>
      <c r="K62" s="67">
        <v>0.124309742083876</v>
      </c>
      <c r="L62" s="67">
        <v>1.5995102278014599E-3</v>
      </c>
      <c r="M62" s="67">
        <v>-0.47683381698146099</v>
      </c>
      <c r="N62" s="67">
        <v>-0.227597998385035</v>
      </c>
      <c r="O62" s="67">
        <v>8.4762666127405004E-3</v>
      </c>
      <c r="P62" s="67">
        <v>1.2867134956504199E-2</v>
      </c>
      <c r="Q62" s="67" t="b">
        <v>1</v>
      </c>
      <c r="R62" s="39">
        <f t="shared" si="12"/>
        <v>-0.53741328490687423</v>
      </c>
      <c r="AB62" s="67" t="s">
        <v>114</v>
      </c>
      <c r="AC62" s="67">
        <v>-0.217550691836432</v>
      </c>
      <c r="AD62" s="67">
        <v>0.112181000152169</v>
      </c>
      <c r="AE62" s="67">
        <v>1.4481030902768299E-3</v>
      </c>
      <c r="AF62" s="67">
        <v>-0.43761949750097001</v>
      </c>
      <c r="AG62" s="67">
        <v>-0.219184591646534</v>
      </c>
      <c r="AH62" s="67">
        <v>1.8246635861068801E-3</v>
      </c>
      <c r="AI62" s="67">
        <v>1.2908630590853599E-2</v>
      </c>
      <c r="AJ62" s="67" t="b">
        <v>1</v>
      </c>
      <c r="AK62" s="39">
        <f t="shared" si="13"/>
        <v>-0.51565453184820753</v>
      </c>
    </row>
    <row r="63" spans="9:37" x14ac:dyDescent="0.3">
      <c r="I63" s="67" t="s">
        <v>115</v>
      </c>
      <c r="J63" s="67">
        <v>-0.472025275805662</v>
      </c>
      <c r="K63" s="67">
        <v>9.6099684032509E-2</v>
      </c>
      <c r="L63" s="67">
        <v>1.25177123701452E-3</v>
      </c>
      <c r="M63" s="67">
        <v>-0.66981089594003396</v>
      </c>
      <c r="N63" s="67">
        <v>-0.46935258099011801</v>
      </c>
      <c r="O63" s="67">
        <v>-0.289781950437489</v>
      </c>
      <c r="P63" s="67">
        <v>1.30257580929305E-2</v>
      </c>
      <c r="Q63" s="67" t="b">
        <v>1</v>
      </c>
      <c r="R63" s="39">
        <f t="shared" si="12"/>
        <v>-0.20359012315279976</v>
      </c>
      <c r="AB63" s="67" t="s">
        <v>115</v>
      </c>
      <c r="AC63" s="67">
        <v>-0.46194661430727502</v>
      </c>
      <c r="AD63" s="67">
        <v>8.3510659320106706E-2</v>
      </c>
      <c r="AE63" s="67">
        <v>1.07807926561741E-3</v>
      </c>
      <c r="AF63" s="67">
        <v>-0.62576061856904996</v>
      </c>
      <c r="AG63" s="67">
        <v>-0.46207247790745198</v>
      </c>
      <c r="AH63" s="67">
        <v>-0.299646363004891</v>
      </c>
      <c r="AI63" s="67">
        <v>1.29094809500306E-2</v>
      </c>
      <c r="AJ63" s="67" t="b">
        <v>1</v>
      </c>
      <c r="AK63" s="39">
        <f t="shared" si="13"/>
        <v>-0.18077989259719426</v>
      </c>
    </row>
    <row r="64" spans="9:37" x14ac:dyDescent="0.3">
      <c r="I64" s="67" t="s">
        <v>116</v>
      </c>
      <c r="J64" s="67">
        <v>-0.516965214599581</v>
      </c>
      <c r="K64" s="67">
        <v>8.5114341394259996E-2</v>
      </c>
      <c r="L64" s="67">
        <v>1.1105330183197599E-3</v>
      </c>
      <c r="M64" s="67">
        <v>-0.69280074780949497</v>
      </c>
      <c r="N64" s="67">
        <v>-0.51458229695587199</v>
      </c>
      <c r="O64" s="67">
        <v>-0.35508227891988797</v>
      </c>
      <c r="P64" s="67">
        <v>1.3047542871484401E-2</v>
      </c>
      <c r="Q64" s="67" t="b">
        <v>1</v>
      </c>
      <c r="R64" s="39">
        <f t="shared" si="12"/>
        <v>-0.16464229892176768</v>
      </c>
      <c r="AB64" s="67" t="s">
        <v>116</v>
      </c>
      <c r="AC64" s="67">
        <v>-0.50877348644394604</v>
      </c>
      <c r="AD64" s="67">
        <v>7.1946370233254398E-2</v>
      </c>
      <c r="AE64" s="67">
        <v>9.2883565220737896E-4</v>
      </c>
      <c r="AF64" s="67">
        <v>-0.65059687117070297</v>
      </c>
      <c r="AG64" s="67">
        <v>-0.50941726859331005</v>
      </c>
      <c r="AH64" s="67">
        <v>-0.36729301664151198</v>
      </c>
      <c r="AI64" s="67">
        <v>1.2910111367620601E-2</v>
      </c>
      <c r="AJ64" s="67" t="b">
        <v>1</v>
      </c>
      <c r="AK64" s="39">
        <f t="shared" si="13"/>
        <v>-0.14141139849114576</v>
      </c>
    </row>
    <row r="65" spans="9:37" x14ac:dyDescent="0.3">
      <c r="I65" s="67" t="s">
        <v>117</v>
      </c>
      <c r="J65" s="67">
        <v>0.238605383352718</v>
      </c>
      <c r="K65" s="67">
        <v>8.8047629741166505E-2</v>
      </c>
      <c r="L65" s="67">
        <v>1.13684065460853E-3</v>
      </c>
      <c r="M65" s="67">
        <v>6.4333863554674506E-2</v>
      </c>
      <c r="N65" s="67">
        <v>0.23757489205815099</v>
      </c>
      <c r="O65" s="67">
        <v>0.41073395812999097</v>
      </c>
      <c r="P65" s="67">
        <v>1.2911655406857601E-2</v>
      </c>
      <c r="Q65" s="67" t="b">
        <v>1</v>
      </c>
      <c r="R65" s="39">
        <f t="shared" si="12"/>
        <v>0.36900940164878948</v>
      </c>
      <c r="AB65" s="67" t="s">
        <v>117</v>
      </c>
      <c r="AC65" s="67">
        <v>0.23885187785289799</v>
      </c>
      <c r="AD65" s="67">
        <v>7.4950703288568898E-2</v>
      </c>
      <c r="AE65" s="67">
        <v>9.5941435957107399E-4</v>
      </c>
      <c r="AF65" s="67">
        <v>9.1042532667279394E-2</v>
      </c>
      <c r="AG65" s="67">
        <v>0.23887890224534999</v>
      </c>
      <c r="AH65" s="67">
        <v>0.38657009674595799</v>
      </c>
      <c r="AI65" s="67">
        <v>1.28006051641332E-2</v>
      </c>
      <c r="AJ65" s="67" t="b">
        <v>1</v>
      </c>
      <c r="AK65" s="39">
        <f t="shared" si="13"/>
        <v>0.31379574639446162</v>
      </c>
    </row>
    <row r="66" spans="9:37" x14ac:dyDescent="0.3">
      <c r="I66" s="67" t="s">
        <v>118</v>
      </c>
      <c r="J66" s="67">
        <v>-0.13827405472019699</v>
      </c>
      <c r="K66" s="67">
        <v>7.9454595037791398E-2</v>
      </c>
      <c r="L66" s="67">
        <v>1.0370345242361799E-3</v>
      </c>
      <c r="M66" s="67">
        <v>-0.30034097769428397</v>
      </c>
      <c r="N66" s="67">
        <v>-0.13550280746433199</v>
      </c>
      <c r="O66" s="67">
        <v>1.16366219731407E-2</v>
      </c>
      <c r="P66" s="67">
        <v>1.30519137847589E-2</v>
      </c>
      <c r="Q66" s="67" t="b">
        <v>1</v>
      </c>
      <c r="R66" s="39">
        <f t="shared" si="12"/>
        <v>-0.57461680138454685</v>
      </c>
      <c r="AB66" s="67" t="s">
        <v>118</v>
      </c>
      <c r="AC66" s="67">
        <v>-0.131440745684101</v>
      </c>
      <c r="AD66" s="67">
        <v>6.58343285791122E-2</v>
      </c>
      <c r="AE66" s="67">
        <v>8.4995810774902698E-4</v>
      </c>
      <c r="AF66" s="67">
        <v>-0.261335937344507</v>
      </c>
      <c r="AG66" s="67">
        <v>-0.13201336637276201</v>
      </c>
      <c r="AH66" s="67">
        <v>-1.6489405536399401E-3</v>
      </c>
      <c r="AI66" s="67">
        <v>1.2910560889637501E-2</v>
      </c>
      <c r="AJ66" s="67" t="b">
        <v>1</v>
      </c>
      <c r="AK66" s="39">
        <f t="shared" si="13"/>
        <v>-0.50086697421312243</v>
      </c>
    </row>
    <row r="67" spans="9:37" x14ac:dyDescent="0.3">
      <c r="I67" s="67" t="s">
        <v>119</v>
      </c>
      <c r="J67" s="67">
        <v>0.59218281187177901</v>
      </c>
      <c r="K67" s="67">
        <v>0.122613283376082</v>
      </c>
      <c r="L67" s="67">
        <v>1.58316521103967E-3</v>
      </c>
      <c r="M67" s="67">
        <v>0.356302941257781</v>
      </c>
      <c r="N67" s="67">
        <v>0.59012101421987895</v>
      </c>
      <c r="O67" s="67">
        <v>0.84210482516570195</v>
      </c>
      <c r="P67" s="67">
        <v>1.29118572429363E-2</v>
      </c>
      <c r="Q67" s="67" t="b">
        <v>1</v>
      </c>
      <c r="R67" s="39">
        <f t="shared" si="12"/>
        <v>0.20705309393990071</v>
      </c>
      <c r="AB67" s="67" t="s">
        <v>119</v>
      </c>
      <c r="AC67" s="67">
        <v>0.58762315013317401</v>
      </c>
      <c r="AD67" s="67">
        <v>0.110314677008608</v>
      </c>
      <c r="AE67" s="67">
        <v>1.4436359596359501E-3</v>
      </c>
      <c r="AF67" s="67">
        <v>0.37284292257354201</v>
      </c>
      <c r="AG67" s="67">
        <v>0.58674248243855798</v>
      </c>
      <c r="AH67" s="67">
        <v>0.80270056921564803</v>
      </c>
      <c r="AI67" s="67">
        <v>1.30865266416299E-2</v>
      </c>
      <c r="AJ67" s="67" t="b">
        <v>1</v>
      </c>
      <c r="AK67" s="39">
        <f t="shared" si="13"/>
        <v>0.18773031148212457</v>
      </c>
    </row>
    <row r="68" spans="9:37" x14ac:dyDescent="0.3">
      <c r="I68" s="67" t="s">
        <v>43</v>
      </c>
      <c r="J68" s="67">
        <v>6.2669150665157201E-4</v>
      </c>
      <c r="K68" s="67">
        <v>0.19935099202912601</v>
      </c>
      <c r="L68" s="67">
        <v>2.6452294478181699E-3</v>
      </c>
      <c r="M68" s="67">
        <v>-0.40335805607796199</v>
      </c>
      <c r="N68" s="67">
        <v>2.2262475565044499E-3</v>
      </c>
      <c r="O68" s="67">
        <v>0.38347417653982702</v>
      </c>
      <c r="P68" s="67">
        <v>1.3269206342508199E-2</v>
      </c>
      <c r="Q68" s="67" t="b">
        <v>1</v>
      </c>
      <c r="R68" s="39">
        <f t="shared" si="12"/>
        <v>318.10067619116654</v>
      </c>
      <c r="AB68" s="67" t="s">
        <v>43</v>
      </c>
      <c r="AC68" s="67">
        <v>-2.4502924746582998E-3</v>
      </c>
      <c r="AD68" s="67">
        <v>0.202728875751611</v>
      </c>
      <c r="AE68" s="67">
        <v>2.6175722213255502E-3</v>
      </c>
      <c r="AF68" s="67">
        <v>-0.39718433190156499</v>
      </c>
      <c r="AG68" s="67">
        <v>-3.1225812868206698E-3</v>
      </c>
      <c r="AH68" s="67">
        <v>0.392365971908818</v>
      </c>
      <c r="AI68" s="67">
        <v>1.29116891297354E-2</v>
      </c>
      <c r="AJ68" s="67" t="b">
        <v>1</v>
      </c>
      <c r="AK68" s="39">
        <f t="shared" si="13"/>
        <v>-82.736603017108038</v>
      </c>
    </row>
    <row r="69" spans="9:37" x14ac:dyDescent="0.3">
      <c r="I69" s="67" t="s">
        <v>22</v>
      </c>
      <c r="J69" s="67">
        <v>1.58315438785009</v>
      </c>
      <c r="K69" s="67">
        <v>0.16851798270439799</v>
      </c>
      <c r="L69" s="67">
        <v>2.1226045803325101E-3</v>
      </c>
      <c r="M69" s="67">
        <v>1.2367110213575101</v>
      </c>
      <c r="N69" s="67">
        <v>1.5848411238629601</v>
      </c>
      <c r="O69" s="67">
        <v>1.90889887147348</v>
      </c>
      <c r="P69" s="67">
        <v>1.2595715580430499E-2</v>
      </c>
      <c r="Q69" s="67" t="b">
        <v>1</v>
      </c>
      <c r="R69" s="39">
        <f t="shared" si="12"/>
        <v>0.10644444028812879</v>
      </c>
      <c r="AB69" s="67" t="s">
        <v>22</v>
      </c>
      <c r="AC69" s="67">
        <v>1.59277926408863</v>
      </c>
      <c r="AD69" s="67">
        <v>0.155569039042497</v>
      </c>
      <c r="AE69" s="67">
        <v>2.03083805583941E-3</v>
      </c>
      <c r="AF69" s="67">
        <v>1.2839696292630201</v>
      </c>
      <c r="AG69" s="67">
        <v>1.5933277887266699</v>
      </c>
      <c r="AH69" s="67">
        <v>1.89674868772937</v>
      </c>
      <c r="AI69" s="67">
        <v>1.3054255964675901E-2</v>
      </c>
      <c r="AJ69" s="67" t="b">
        <v>1</v>
      </c>
      <c r="AK69" s="39">
        <f t="shared" si="13"/>
        <v>9.7671436683043344E-2</v>
      </c>
    </row>
    <row r="70" spans="9:37" x14ac:dyDescent="0.3">
      <c r="I70" s="67" t="s">
        <v>24</v>
      </c>
      <c r="J70" s="67">
        <v>1.6730809802846101</v>
      </c>
      <c r="K70" s="67">
        <v>0.170270024761178</v>
      </c>
      <c r="L70" s="67">
        <v>2.1405361583555502E-3</v>
      </c>
      <c r="M70" s="67">
        <v>1.3372744420165299</v>
      </c>
      <c r="N70" s="67">
        <v>1.6740485635725599</v>
      </c>
      <c r="O70" s="67">
        <v>2.00837666869697</v>
      </c>
      <c r="P70" s="67">
        <v>1.2571420961251901E-2</v>
      </c>
      <c r="Q70" s="67" t="b">
        <v>1</v>
      </c>
      <c r="R70" s="39">
        <f t="shared" si="12"/>
        <v>0.10177034271958141</v>
      </c>
      <c r="AB70" s="67" t="s">
        <v>24</v>
      </c>
      <c r="AC70" s="67">
        <v>1.6760203996263401</v>
      </c>
      <c r="AD70" s="67">
        <v>0.15664363266348699</v>
      </c>
      <c r="AE70" s="67">
        <v>2.0396731865731199E-3</v>
      </c>
      <c r="AF70" s="67">
        <v>1.37321532580854</v>
      </c>
      <c r="AG70" s="67">
        <v>1.6743533884030699</v>
      </c>
      <c r="AH70" s="67">
        <v>1.98832881255279</v>
      </c>
      <c r="AI70" s="67">
        <v>1.3021104987745599E-2</v>
      </c>
      <c r="AJ70" s="67" t="b">
        <v>1</v>
      </c>
      <c r="AK70" s="39">
        <f t="shared" si="13"/>
        <v>9.3461650406170396E-2</v>
      </c>
    </row>
    <row r="71" spans="9:37" x14ac:dyDescent="0.3">
      <c r="I71" s="67" t="s">
        <v>44</v>
      </c>
      <c r="J71" s="67">
        <v>9.9691008882828405E-2</v>
      </c>
      <c r="K71" s="67">
        <v>0.17467008779881599</v>
      </c>
      <c r="L71" s="67">
        <v>2.2552908846381601E-3</v>
      </c>
      <c r="M71" s="67">
        <v>-0.23005100805628501</v>
      </c>
      <c r="N71" s="67">
        <v>9.7634602570365103E-2</v>
      </c>
      <c r="O71" s="67">
        <v>0.45580216878604402</v>
      </c>
      <c r="P71" s="67">
        <v>1.29117178164803E-2</v>
      </c>
      <c r="Q71" s="67" t="b">
        <v>1</v>
      </c>
      <c r="R71" s="39">
        <f>K71/J71</f>
        <v>1.7521147569497875</v>
      </c>
      <c r="AB71" s="67" t="s">
        <v>44</v>
      </c>
      <c r="AC71" s="67">
        <v>-2.1949940358713801E-3</v>
      </c>
      <c r="AD71" s="67">
        <v>0.57384583594648197</v>
      </c>
      <c r="AE71" s="67">
        <v>7.2262716556827098E-3</v>
      </c>
      <c r="AF71" s="67">
        <v>-0.95555261645931799</v>
      </c>
      <c r="AG71" s="67">
        <v>-1.6851874541895501E-4</v>
      </c>
      <c r="AH71" s="67">
        <v>0.94469939293724103</v>
      </c>
      <c r="AI71" s="67">
        <v>1.2592705571809099E-2</v>
      </c>
      <c r="AJ71" s="67" t="b">
        <v>1</v>
      </c>
      <c r="AK71" s="39">
        <f t="shared" si="13"/>
        <v>-261.4338930167861</v>
      </c>
    </row>
    <row r="72" spans="9:37" x14ac:dyDescent="0.3">
      <c r="I72" s="67" t="s">
        <v>45</v>
      </c>
      <c r="J72" s="67">
        <v>0.41069820549909097</v>
      </c>
      <c r="K72" s="67">
        <v>4.7736884570633902E-2</v>
      </c>
      <c r="L72" s="67">
        <v>6.1936181113835301E-4</v>
      </c>
      <c r="M72" s="67">
        <v>0.330832312917273</v>
      </c>
      <c r="N72" s="67">
        <v>0.40617203470504598</v>
      </c>
      <c r="O72" s="67">
        <v>0.51839889937234096</v>
      </c>
      <c r="P72" s="67">
        <v>1.29744916684271E-2</v>
      </c>
      <c r="Q72" s="67" t="b">
        <v>1</v>
      </c>
      <c r="R72" s="39">
        <f t="shared" si="12"/>
        <v>0.1162334870994209</v>
      </c>
      <c r="AB72" s="67" t="s">
        <v>45</v>
      </c>
      <c r="AC72" s="67">
        <v>0.405483845301087</v>
      </c>
      <c r="AD72" s="67">
        <v>4.5447403882735299E-2</v>
      </c>
      <c r="AE72" s="67">
        <v>5.8099079093755599E-4</v>
      </c>
      <c r="AF72" s="67">
        <v>0.32759347971753799</v>
      </c>
      <c r="AG72" s="67">
        <v>0.40174414025153599</v>
      </c>
      <c r="AH72" s="67">
        <v>0.50427074943199002</v>
      </c>
      <c r="AI72" s="67">
        <v>1.27838059229224E-2</v>
      </c>
      <c r="AJ72" s="67" t="b">
        <v>1</v>
      </c>
      <c r="AK72" s="39">
        <f t="shared" si="13"/>
        <v>0.11208191006719119</v>
      </c>
    </row>
    <row r="73" spans="9:37" x14ac:dyDescent="0.3">
      <c r="I73" s="67" t="s">
        <v>46</v>
      </c>
      <c r="J73" s="67">
        <v>1.0024912869573599</v>
      </c>
      <c r="K73" s="67">
        <v>0.57816722176304103</v>
      </c>
      <c r="L73" s="67">
        <v>7.4647987719060303E-3</v>
      </c>
      <c r="M73" s="67">
        <v>5.5342616082956299E-2</v>
      </c>
      <c r="N73" s="67">
        <v>1.00474066886275</v>
      </c>
      <c r="O73" s="67">
        <v>1.94945061274048</v>
      </c>
      <c r="P73" s="67">
        <v>1.29111414326519E-2</v>
      </c>
      <c r="Q73" s="67" t="b">
        <v>1</v>
      </c>
      <c r="R73" s="39">
        <f t="shared" si="12"/>
        <v>0.57673042078781966</v>
      </c>
      <c r="AB73" s="67" t="s">
        <v>46</v>
      </c>
      <c r="AC73" s="67">
        <v>0.99462662798517298</v>
      </c>
      <c r="AD73" s="67">
        <v>0.57967374259984905</v>
      </c>
      <c r="AE73" s="67">
        <v>7.4827304736982802E-3</v>
      </c>
      <c r="AF73" s="67">
        <v>4.7758716844897402E-2</v>
      </c>
      <c r="AG73" s="67">
        <v>0.993706931825727</v>
      </c>
      <c r="AH73" s="67">
        <v>1.9585391357097699</v>
      </c>
      <c r="AI73" s="67">
        <v>1.29085206449719E-2</v>
      </c>
      <c r="AJ73" s="67" t="b">
        <v>1</v>
      </c>
      <c r="AK73" s="39">
        <f t="shared" si="13"/>
        <v>0.58280537267949584</v>
      </c>
    </row>
    <row r="74" spans="9:37" x14ac:dyDescent="0.3">
      <c r="I74" s="68" t="s">
        <v>47</v>
      </c>
      <c r="J74" s="68">
        <v>1475.1743941238301</v>
      </c>
      <c r="K74" s="68">
        <v>45849.5947677023</v>
      </c>
      <c r="L74" s="68">
        <v>591.97335727624204</v>
      </c>
      <c r="M74" s="68">
        <v>0.26313312619627099</v>
      </c>
      <c r="N74" s="68">
        <v>0.99058566111014701</v>
      </c>
      <c r="O74" s="68">
        <v>326.498185280825</v>
      </c>
      <c r="P74" s="68">
        <v>1.2911201511714199E-2</v>
      </c>
      <c r="Q74" s="68" t="b">
        <v>1</v>
      </c>
      <c r="R74" s="40">
        <f t="shared" si="12"/>
        <v>31.080796243710804</v>
      </c>
      <c r="AB74" s="68" t="s">
        <v>47</v>
      </c>
      <c r="AC74" s="68">
        <v>2235.71732312227</v>
      </c>
      <c r="AD74" s="68">
        <v>100560.17946236199</v>
      </c>
      <c r="AE74" s="68">
        <v>1298.23417702199</v>
      </c>
      <c r="AF74" s="68">
        <v>0.26069667492257498</v>
      </c>
      <c r="AG74" s="68">
        <v>1.01270605214274</v>
      </c>
      <c r="AH74" s="68">
        <v>438.42465225820803</v>
      </c>
      <c r="AI74" s="68">
        <v>1.2910022475724601E-2</v>
      </c>
      <c r="AJ74" s="68" t="b">
        <v>1</v>
      </c>
      <c r="AK74" s="40">
        <f t="shared" si="13"/>
        <v>44.978932901018815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Q50"/>
  <sheetViews>
    <sheetView showFormulas="1" topLeftCell="I1" workbookViewId="0">
      <selection activeCell="P1" sqref="P1:Q1048576"/>
    </sheetView>
  </sheetViews>
  <sheetFormatPr defaultRowHeight="14.4" x14ac:dyDescent="0.3"/>
  <sheetData>
    <row r="1" spans="1:17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7.8376452401585297</v>
      </c>
      <c r="P1" s="79"/>
      <c r="Q1" s="79"/>
    </row>
    <row r="2" spans="1:17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7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7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1.8062853494543301</v>
      </c>
      <c r="L4" t="s">
        <v>137</v>
      </c>
      <c r="M4">
        <f>MAX(G2:G44)</f>
        <v>6.0877913610875911</v>
      </c>
    </row>
    <row r="5" spans="1:17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7" x14ac:dyDescent="0.3">
      <c r="A6">
        <v>1980</v>
      </c>
      <c r="B6">
        <v>94934.708453736879</v>
      </c>
      <c r="C6">
        <v>101861.05899999999</v>
      </c>
      <c r="D6">
        <v>106015.5465</v>
      </c>
      <c r="E6">
        <v>108424.67750000001</v>
      </c>
      <c r="F6">
        <f t="shared" si="0"/>
        <v>0.11039637257072027</v>
      </c>
      <c r="G6">
        <f t="shared" si="1"/>
        <v>1.1167206201687867</v>
      </c>
    </row>
    <row r="7" spans="1:17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7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7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7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7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7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7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7" x14ac:dyDescent="0.3">
      <c r="A14">
        <v>1988</v>
      </c>
      <c r="B14">
        <v>46166.047456689841</v>
      </c>
      <c r="C14">
        <v>125968.6257</v>
      </c>
      <c r="D14">
        <v>131089.12450000001</v>
      </c>
      <c r="E14">
        <v>134611.5453</v>
      </c>
      <c r="F14">
        <f t="shared" si="0"/>
        <v>1.0436328071908099</v>
      </c>
      <c r="G14">
        <f t="shared" si="1"/>
        <v>2.8395137058891557</v>
      </c>
    </row>
    <row r="15" spans="1:17" x14ac:dyDescent="0.3">
      <c r="A15">
        <v>1989</v>
      </c>
      <c r="B15">
        <v>83680.441356716488</v>
      </c>
      <c r="C15">
        <v>123327.5482</v>
      </c>
      <c r="D15">
        <v>127588.6823</v>
      </c>
      <c r="E15">
        <v>130878.47530000001</v>
      </c>
      <c r="F15">
        <f t="shared" si="0"/>
        <v>0.42180639562639022</v>
      </c>
      <c r="G15">
        <f t="shared" si="1"/>
        <v>1.5247133049419472</v>
      </c>
    </row>
    <row r="16" spans="1:17" x14ac:dyDescent="0.3">
      <c r="A16">
        <v>1990</v>
      </c>
      <c r="B16">
        <v>75246.474138130347</v>
      </c>
      <c r="C16">
        <v>80574.478350000005</v>
      </c>
      <c r="D16">
        <v>83501.130210000003</v>
      </c>
      <c r="E16">
        <v>85984.405830000003</v>
      </c>
      <c r="F16">
        <f t="shared" si="0"/>
        <v>0.10409111999030518</v>
      </c>
      <c r="G16">
        <f t="shared" si="1"/>
        <v>1.1097015663048415</v>
      </c>
    </row>
    <row r="17" spans="1:7" x14ac:dyDescent="0.3">
      <c r="A17">
        <v>1991</v>
      </c>
      <c r="B17">
        <v>86602.842621320349</v>
      </c>
      <c r="C17">
        <v>192531.51949999999</v>
      </c>
      <c r="D17">
        <v>199176.2844</v>
      </c>
      <c r="E17">
        <v>204609.3149</v>
      </c>
      <c r="F17">
        <f t="shared" si="0"/>
        <v>0.83285764408988172</v>
      </c>
      <c r="G17">
        <f t="shared" si="1"/>
        <v>2.2998816017035186</v>
      </c>
    </row>
    <row r="18" spans="1:7" x14ac:dyDescent="0.3">
      <c r="A18">
        <v>1992</v>
      </c>
      <c r="B18">
        <v>82589.897839148485</v>
      </c>
      <c r="C18">
        <v>73046.996459999995</v>
      </c>
      <c r="D18">
        <v>75896.675229999993</v>
      </c>
      <c r="E18">
        <v>78347.604860000007</v>
      </c>
      <c r="F18">
        <f t="shared" si="0"/>
        <v>-8.4514492027120663E-2</v>
      </c>
      <c r="G18">
        <f t="shared" si="1"/>
        <v>0.91895833771117907</v>
      </c>
    </row>
    <row r="19" spans="1:7" x14ac:dyDescent="0.3">
      <c r="A19">
        <v>1993</v>
      </c>
      <c r="B19">
        <v>64819.995946128067</v>
      </c>
      <c r="C19">
        <v>79337.694669999997</v>
      </c>
      <c r="D19">
        <v>82874.930349999995</v>
      </c>
      <c r="E19">
        <v>85451.831699999995</v>
      </c>
      <c r="F19">
        <f t="shared" si="0"/>
        <v>0.24571847291040061</v>
      </c>
      <c r="G19">
        <f t="shared" si="1"/>
        <v>1.2785395793433463</v>
      </c>
    </row>
    <row r="20" spans="1:7" x14ac:dyDescent="0.3">
      <c r="A20">
        <v>1994</v>
      </c>
      <c r="B20">
        <v>77409.404500146265</v>
      </c>
      <c r="C20">
        <v>148129.467</v>
      </c>
      <c r="D20">
        <v>158112.03140000001</v>
      </c>
      <c r="E20">
        <v>165538.56030000001</v>
      </c>
      <c r="F20">
        <f t="shared" si="0"/>
        <v>0.71419556287234742</v>
      </c>
      <c r="G20">
        <f t="shared" si="1"/>
        <v>2.04254292383429</v>
      </c>
    </row>
    <row r="21" spans="1:7" x14ac:dyDescent="0.3">
      <c r="A21">
        <v>1995</v>
      </c>
      <c r="B21">
        <v>45470.863832187875</v>
      </c>
      <c r="C21">
        <v>98211.967980000001</v>
      </c>
      <c r="D21">
        <v>105870.16250000001</v>
      </c>
      <c r="E21">
        <v>112987.51579999999</v>
      </c>
      <c r="F21">
        <f t="shared" si="0"/>
        <v>0.84514169575007747</v>
      </c>
      <c r="G21">
        <f t="shared" si="1"/>
        <v>2.3283077025041412</v>
      </c>
    </row>
    <row r="22" spans="1:7" x14ac:dyDescent="0.3">
      <c r="A22">
        <v>1996</v>
      </c>
      <c r="B22">
        <v>62569.468843981653</v>
      </c>
      <c r="C22">
        <v>110350.7819</v>
      </c>
      <c r="D22">
        <v>118011.94779999999</v>
      </c>
      <c r="E22">
        <v>125028.8564</v>
      </c>
      <c r="F22">
        <f t="shared" si="0"/>
        <v>0.6345084308967307</v>
      </c>
      <c r="G22">
        <f t="shared" si="1"/>
        <v>1.8860947676296467</v>
      </c>
    </row>
    <row r="23" spans="1:7" x14ac:dyDescent="0.3">
      <c r="A23">
        <v>1997</v>
      </c>
      <c r="B23">
        <v>39902.266244561462</v>
      </c>
      <c r="C23">
        <v>109546.23269999999</v>
      </c>
      <c r="D23">
        <v>114536.44070000001</v>
      </c>
      <c r="E23">
        <v>119206.6007</v>
      </c>
      <c r="F23">
        <f t="shared" si="0"/>
        <v>1.0544599113569881</v>
      </c>
      <c r="G23">
        <f t="shared" si="1"/>
        <v>2.8704244515337751</v>
      </c>
    </row>
    <row r="24" spans="1:7" x14ac:dyDescent="0.3">
      <c r="A24">
        <v>1998</v>
      </c>
      <c r="B24">
        <v>50059.496485003161</v>
      </c>
      <c r="C24">
        <v>193222.51209999999</v>
      </c>
      <c r="D24">
        <v>198691.97200000001</v>
      </c>
      <c r="E24">
        <v>203296.79120000001</v>
      </c>
      <c r="F24">
        <f t="shared" si="0"/>
        <v>1.3785435184015697</v>
      </c>
      <c r="G24">
        <f t="shared" si="1"/>
        <v>3.9691164704288266</v>
      </c>
    </row>
    <row r="25" spans="1:7" x14ac:dyDescent="0.3">
      <c r="A25">
        <v>1999</v>
      </c>
      <c r="B25">
        <v>62465.327558025572</v>
      </c>
      <c r="C25">
        <v>94260.958929999993</v>
      </c>
      <c r="D25">
        <v>98393.330329999997</v>
      </c>
      <c r="E25">
        <v>102261.7714</v>
      </c>
      <c r="F25">
        <f t="shared" si="0"/>
        <v>0.45436137682675437</v>
      </c>
      <c r="G25">
        <f t="shared" si="1"/>
        <v>1.5751671235310505</v>
      </c>
    </row>
    <row r="26" spans="1:7" x14ac:dyDescent="0.3">
      <c r="A26">
        <v>2000</v>
      </c>
      <c r="B26">
        <v>37823.708543191133</v>
      </c>
      <c r="C26">
        <v>73963.498980000004</v>
      </c>
      <c r="D26">
        <v>77980.952810000003</v>
      </c>
      <c r="E26">
        <v>81801.691680000004</v>
      </c>
      <c r="F26">
        <f t="shared" si="0"/>
        <v>0.72352848597680752</v>
      </c>
      <c r="G26">
        <f t="shared" si="1"/>
        <v>2.0616950535390535</v>
      </c>
    </row>
    <row r="27" spans="1:7" x14ac:dyDescent="0.3">
      <c r="A27">
        <v>2001</v>
      </c>
      <c r="B27">
        <v>61924.998840845088</v>
      </c>
      <c r="C27">
        <v>192542.1759</v>
      </c>
      <c r="D27">
        <v>204466.44089999999</v>
      </c>
      <c r="E27">
        <v>213091.4497</v>
      </c>
      <c r="F27">
        <f t="shared" si="0"/>
        <v>1.1944799021812398</v>
      </c>
      <c r="G27">
        <f t="shared" si="1"/>
        <v>3.3018400440426983</v>
      </c>
    </row>
    <row r="28" spans="1:7" x14ac:dyDescent="0.3">
      <c r="A28">
        <v>2002</v>
      </c>
      <c r="B28">
        <v>69747.421864400574</v>
      </c>
      <c r="C28">
        <v>176315.9829</v>
      </c>
      <c r="D28">
        <v>191945.2501</v>
      </c>
      <c r="E28">
        <v>205642.88200000001</v>
      </c>
      <c r="F28">
        <f t="shared" si="0"/>
        <v>1.0123297181331994</v>
      </c>
      <c r="G28">
        <f t="shared" si="1"/>
        <v>2.7520049482713538</v>
      </c>
    </row>
    <row r="29" spans="1:7" x14ac:dyDescent="0.3">
      <c r="A29">
        <v>2003</v>
      </c>
      <c r="B29">
        <v>84858.818815066959</v>
      </c>
      <c r="C29">
        <v>53226.893459999999</v>
      </c>
      <c r="D29">
        <v>57825.018190000003</v>
      </c>
      <c r="E29">
        <v>62065.674079999997</v>
      </c>
      <c r="F29">
        <f t="shared" si="0"/>
        <v>-0.38356739777092685</v>
      </c>
      <c r="G29">
        <f t="shared" si="1"/>
        <v>0.68142614989749284</v>
      </c>
    </row>
    <row r="30" spans="1:7" x14ac:dyDescent="0.3">
      <c r="A30">
        <v>2004</v>
      </c>
      <c r="B30">
        <v>40679.435185245122</v>
      </c>
      <c r="C30">
        <v>101388.2242</v>
      </c>
      <c r="D30">
        <v>105796.69929999999</v>
      </c>
      <c r="E30">
        <v>109199.6884</v>
      </c>
      <c r="F30">
        <f t="shared" si="0"/>
        <v>0.95579663464621545</v>
      </c>
      <c r="G30">
        <f t="shared" si="1"/>
        <v>2.6007415987519318</v>
      </c>
    </row>
    <row r="31" spans="1:7" x14ac:dyDescent="0.3">
      <c r="A31">
        <v>2005</v>
      </c>
      <c r="B31">
        <v>74065.233734798647</v>
      </c>
      <c r="C31">
        <v>213112.8389</v>
      </c>
      <c r="D31">
        <v>221481.9743</v>
      </c>
      <c r="E31">
        <v>226218.98939999999</v>
      </c>
      <c r="F31">
        <f t="shared" si="0"/>
        <v>1.0953949642028034</v>
      </c>
      <c r="G31">
        <f t="shared" si="1"/>
        <v>2.9903635367309911</v>
      </c>
    </row>
    <row r="32" spans="1:7" x14ac:dyDescent="0.3">
      <c r="A32">
        <v>2006</v>
      </c>
      <c r="B32">
        <v>85133.893123772097</v>
      </c>
      <c r="C32">
        <v>92476.306890000007</v>
      </c>
      <c r="D32">
        <v>96245.668120000002</v>
      </c>
      <c r="E32">
        <v>99519.106759999995</v>
      </c>
      <c r="F32">
        <f t="shared" si="0"/>
        <v>0.12267873524547519</v>
      </c>
      <c r="G32">
        <f t="shared" si="1"/>
        <v>1.1305211659952286</v>
      </c>
    </row>
    <row r="33" spans="1:7" x14ac:dyDescent="0.3">
      <c r="A33">
        <v>2007</v>
      </c>
      <c r="B33">
        <v>59938.598810310643</v>
      </c>
      <c r="C33">
        <v>179043.88089999999</v>
      </c>
      <c r="D33">
        <v>187541.33559999999</v>
      </c>
      <c r="E33">
        <v>193976.03969999999</v>
      </c>
      <c r="F33">
        <f t="shared" si="0"/>
        <v>1.1406785925695737</v>
      </c>
      <c r="G33">
        <f t="shared" si="1"/>
        <v>3.128890887047882</v>
      </c>
    </row>
    <row r="34" spans="1:7" x14ac:dyDescent="0.3">
      <c r="A34">
        <v>2008</v>
      </c>
      <c r="B34">
        <v>29647.660080158377</v>
      </c>
      <c r="C34">
        <v>138268.98550000001</v>
      </c>
      <c r="D34">
        <v>143708.52119999999</v>
      </c>
      <c r="E34">
        <v>148166.0049</v>
      </c>
      <c r="F34">
        <f t="shared" si="0"/>
        <v>1.5784038855744735</v>
      </c>
      <c r="G34">
        <f t="shared" si="1"/>
        <v>4.8472129271401272</v>
      </c>
    </row>
    <row r="35" spans="1:7" x14ac:dyDescent="0.3">
      <c r="A35">
        <v>2009</v>
      </c>
      <c r="B35">
        <v>87454.592297996292</v>
      </c>
      <c r="C35">
        <v>258396.75279999999</v>
      </c>
      <c r="D35">
        <v>268423.52140000003</v>
      </c>
      <c r="E35">
        <v>277584.69089999999</v>
      </c>
      <c r="F35">
        <f t="shared" si="0"/>
        <v>1.1214463233770635</v>
      </c>
      <c r="G35">
        <f t="shared" si="1"/>
        <v>3.069290180730166</v>
      </c>
    </row>
    <row r="36" spans="1:7" x14ac:dyDescent="0.3">
      <c r="A36">
        <v>2010</v>
      </c>
      <c r="B36">
        <v>57196.954942215183</v>
      </c>
      <c r="C36">
        <v>117167.82399999999</v>
      </c>
      <c r="D36">
        <v>121189.895</v>
      </c>
      <c r="E36">
        <v>124259.4503</v>
      </c>
      <c r="F36">
        <f t="shared" si="0"/>
        <v>0.75085803387915484</v>
      </c>
      <c r="G36">
        <f t="shared" si="1"/>
        <v>2.1188172538631727</v>
      </c>
    </row>
    <row r="37" spans="1:7" x14ac:dyDescent="0.3">
      <c r="A37">
        <v>2011</v>
      </c>
      <c r="B37">
        <v>91371.906763409206</v>
      </c>
      <c r="C37">
        <v>141149.91200000001</v>
      </c>
      <c r="D37">
        <v>147916.4448</v>
      </c>
      <c r="E37">
        <v>152634.4626</v>
      </c>
      <c r="F37">
        <f t="shared" si="0"/>
        <v>0.4817094867902148</v>
      </c>
      <c r="G37">
        <f t="shared" si="1"/>
        <v>1.6188394227451388</v>
      </c>
    </row>
    <row r="38" spans="1:7" x14ac:dyDescent="0.3">
      <c r="A38">
        <v>2012</v>
      </c>
      <c r="B38">
        <v>63646.529331686623</v>
      </c>
      <c r="C38">
        <v>95643.942429999996</v>
      </c>
      <c r="D38">
        <v>100296.25629999999</v>
      </c>
      <c r="E38">
        <v>104865.91250000001</v>
      </c>
      <c r="F38">
        <f t="shared" si="0"/>
        <v>0.45478357311868056</v>
      </c>
      <c r="G38">
        <f t="shared" si="1"/>
        <v>1.5758322936560689</v>
      </c>
    </row>
    <row r="39" spans="1:7" x14ac:dyDescent="0.3">
      <c r="A39">
        <v>2013</v>
      </c>
      <c r="B39">
        <v>127609.41559890099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-0.35202156303997845</v>
      </c>
      <c r="G39">
        <f t="shared" si="1"/>
        <v>0.70326495728245375</v>
      </c>
    </row>
    <row r="40" spans="1:7" x14ac:dyDescent="0.3">
      <c r="A40">
        <v>2014</v>
      </c>
      <c r="B40">
        <v>107518.04799825477</v>
      </c>
      <c r="C40">
        <v>76301.554319999996</v>
      </c>
      <c r="D40">
        <v>77725.766929999998</v>
      </c>
      <c r="E40">
        <v>79086.059089999995</v>
      </c>
      <c r="F40">
        <f t="shared" si="0"/>
        <v>-0.32447189871157844</v>
      </c>
      <c r="G40">
        <f t="shared" si="1"/>
        <v>0.72290902203936624</v>
      </c>
    </row>
    <row r="41" spans="1:7" x14ac:dyDescent="0.3">
      <c r="A41">
        <v>2015</v>
      </c>
      <c r="B41">
        <v>97221.450888078136</v>
      </c>
      <c r="C41">
        <v>75996.894289999997</v>
      </c>
      <c r="D41">
        <v>77096.788109999994</v>
      </c>
      <c r="E41">
        <v>78167.540590000004</v>
      </c>
      <c r="F41">
        <f t="shared" si="0"/>
        <v>-0.23192975432062812</v>
      </c>
      <c r="G41">
        <f t="shared" si="1"/>
        <v>0.79300182630224514</v>
      </c>
    </row>
    <row r="42" spans="1:7" x14ac:dyDescent="0.3">
      <c r="A42">
        <v>2016</v>
      </c>
      <c r="B42">
        <v>53865.987270574304</v>
      </c>
      <c r="C42">
        <v>160739.2549</v>
      </c>
      <c r="D42">
        <v>162232.47169999999</v>
      </c>
      <c r="E42">
        <v>163715.53099999999</v>
      </c>
      <c r="F42">
        <f t="shared" si="0"/>
        <v>1.1025310722944843</v>
      </c>
      <c r="G42">
        <f t="shared" si="1"/>
        <v>3.0117794162964073</v>
      </c>
    </row>
    <row r="43" spans="1:7" x14ac:dyDescent="0.3">
      <c r="A43">
        <v>2017</v>
      </c>
      <c r="B43">
        <v>89808.844379612477</v>
      </c>
      <c r="C43">
        <v>113773.27830000001</v>
      </c>
      <c r="D43">
        <v>114826.1642</v>
      </c>
      <c r="E43">
        <v>115824.91590000001</v>
      </c>
      <c r="F43">
        <f t="shared" si="0"/>
        <v>0.24573590885843863</v>
      </c>
      <c r="G43">
        <f t="shared" si="1"/>
        <v>1.2785618720873633</v>
      </c>
    </row>
    <row r="44" spans="1:7" x14ac:dyDescent="0.3">
      <c r="A44">
        <v>2018</v>
      </c>
      <c r="B44">
        <v>27639.80677385422</v>
      </c>
      <c r="C44">
        <v>167049.7972</v>
      </c>
      <c r="D44">
        <v>168265.3769</v>
      </c>
      <c r="E44">
        <v>169467.70009999999</v>
      </c>
      <c r="F44">
        <f t="shared" si="0"/>
        <v>1.8062853494543301</v>
      </c>
      <c r="G44">
        <f t="shared" si="1"/>
        <v>6.0877913610875911</v>
      </c>
    </row>
    <row r="45" spans="1:7" x14ac:dyDescent="0.3">
      <c r="A45">
        <v>2019</v>
      </c>
      <c r="B45">
        <v>70958.096114757413</v>
      </c>
    </row>
    <row r="46" spans="1:7" x14ac:dyDescent="0.3">
      <c r="A46">
        <v>2020</v>
      </c>
      <c r="B46">
        <v>64563.269453355999</v>
      </c>
    </row>
    <row r="47" spans="1:7" x14ac:dyDescent="0.3">
      <c r="A47">
        <v>2021</v>
      </c>
      <c r="B47">
        <v>115592.15678229186</v>
      </c>
    </row>
    <row r="48" spans="1:7" x14ac:dyDescent="0.3">
      <c r="A48">
        <v>2022</v>
      </c>
      <c r="B48">
        <v>93843.775567626319</v>
      </c>
    </row>
    <row r="49" spans="1:2" x14ac:dyDescent="0.3">
      <c r="A49">
        <v>2023</v>
      </c>
      <c r="B49">
        <v>138241.32857943233</v>
      </c>
    </row>
    <row r="50" spans="1:2" x14ac:dyDescent="0.3">
      <c r="A50">
        <v>2024</v>
      </c>
      <c r="B50">
        <v>67895.475780120963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workbookViewId="0">
      <selection activeCell="D41" sqref="D41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70" t="s">
        <v>120</v>
      </c>
      <c r="E1" s="86" t="s">
        <v>9</v>
      </c>
      <c r="F1" s="86"/>
      <c r="G1" s="86"/>
      <c r="H1" s="69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70" t="s">
        <v>121</v>
      </c>
      <c r="E24" s="86" t="s">
        <v>9</v>
      </c>
      <c r="F24" s="86"/>
      <c r="G24" s="86"/>
      <c r="H24" s="69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77">
        <v>33200</v>
      </c>
      <c r="E41" s="77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abSelected="1" topLeftCell="C1" workbookViewId="0">
      <selection activeCell="E2" sqref="E2:F50"/>
    </sheetView>
  </sheetViews>
  <sheetFormatPr defaultRowHeight="14.4" x14ac:dyDescent="0.3"/>
  <cols>
    <col min="3" max="3" width="24.33203125" style="39" customWidth="1"/>
    <col min="4" max="4" width="17" style="39" customWidth="1"/>
    <col min="5" max="5" width="14.44140625" style="39" customWidth="1"/>
    <col min="6" max="6" width="18.77734375" style="39" customWidth="1"/>
  </cols>
  <sheetData>
    <row r="1" spans="1:6" ht="27.6" x14ac:dyDescent="0.3">
      <c r="A1" s="84" t="s">
        <v>139</v>
      </c>
      <c r="B1" s="84"/>
      <c r="C1" s="87" t="s">
        <v>141</v>
      </c>
      <c r="D1" s="87" t="s">
        <v>142</v>
      </c>
      <c r="E1" s="87" t="s">
        <v>143</v>
      </c>
      <c r="F1" s="87" t="s">
        <v>144</v>
      </c>
    </row>
    <row r="2" spans="1:6" x14ac:dyDescent="0.3">
      <c r="A2" s="80"/>
      <c r="B2" s="81"/>
      <c r="C2" s="88">
        <f>IF(B4&gt;E2,B4,0)</f>
        <v>116989</v>
      </c>
      <c r="D2" s="88">
        <f>IF(B4&lt;E2,B4,0)</f>
        <v>0</v>
      </c>
      <c r="E2" s="88">
        <v>33000</v>
      </c>
      <c r="F2" s="88">
        <v>60000</v>
      </c>
    </row>
    <row r="3" spans="1:6" x14ac:dyDescent="0.3">
      <c r="A3" s="80" t="s">
        <v>140</v>
      </c>
      <c r="B3" s="80" t="s">
        <v>145</v>
      </c>
      <c r="C3" s="88">
        <f>IF(B5&gt;E3,B5,0)</f>
        <v>216631</v>
      </c>
      <c r="D3" s="88">
        <f>IF(B5&lt;E3,B5,0)</f>
        <v>0</v>
      </c>
      <c r="E3" s="88">
        <v>33000</v>
      </c>
      <c r="F3" s="88">
        <v>60000</v>
      </c>
    </row>
    <row r="4" spans="1:6" x14ac:dyDescent="0.3">
      <c r="A4" s="80">
        <v>1976</v>
      </c>
      <c r="B4" s="82">
        <f>contrast!B2</f>
        <v>116989</v>
      </c>
      <c r="C4" s="88">
        <f>IF(B6&gt;E4,B6,0)</f>
        <v>146884</v>
      </c>
      <c r="D4" s="88">
        <f>IF(B6&lt;E4,B6,0)</f>
        <v>0</v>
      </c>
      <c r="E4" s="88">
        <v>33000</v>
      </c>
      <c r="F4" s="88">
        <v>60000</v>
      </c>
    </row>
    <row r="5" spans="1:6" x14ac:dyDescent="0.3">
      <c r="A5" s="80">
        <v>1977</v>
      </c>
      <c r="B5" s="82">
        <f>contrast!B3</f>
        <v>216631</v>
      </c>
      <c r="C5" s="88">
        <f>IF(B7&gt;E5,B7,0)</f>
        <v>128879</v>
      </c>
      <c r="D5" s="88">
        <f>IF(B7&lt;E5,B7,0)</f>
        <v>0</v>
      </c>
      <c r="E5" s="88">
        <v>33000</v>
      </c>
      <c r="F5" s="88">
        <v>60000</v>
      </c>
    </row>
    <row r="6" spans="1:6" x14ac:dyDescent="0.3">
      <c r="A6" s="80">
        <v>1978</v>
      </c>
      <c r="B6" s="82">
        <f>contrast!B4</f>
        <v>146884</v>
      </c>
      <c r="C6" s="88">
        <f>IF(B8&gt;E6,B8,0)</f>
        <v>94934.708453736879</v>
      </c>
      <c r="D6" s="88">
        <f>IF(B8&lt;E6,B8,0)</f>
        <v>0</v>
      </c>
      <c r="E6" s="88">
        <v>33000</v>
      </c>
      <c r="F6" s="88">
        <v>60000</v>
      </c>
    </row>
    <row r="7" spans="1:6" x14ac:dyDescent="0.3">
      <c r="A7" s="80">
        <v>1979</v>
      </c>
      <c r="B7" s="82">
        <f>contrast!B5</f>
        <v>128879</v>
      </c>
      <c r="C7" s="88">
        <f>IF(B9&gt;E7,B9,0)</f>
        <v>61774</v>
      </c>
      <c r="D7" s="88">
        <f>IF(B9&lt;E7,B9,0)</f>
        <v>0</v>
      </c>
      <c r="E7" s="88">
        <v>33000</v>
      </c>
      <c r="F7" s="88">
        <v>60000</v>
      </c>
    </row>
    <row r="8" spans="1:6" x14ac:dyDescent="0.3">
      <c r="A8" s="80">
        <v>1980</v>
      </c>
      <c r="B8" s="82">
        <f>contrast!B6</f>
        <v>94934.708453736879</v>
      </c>
      <c r="C8" s="88">
        <f>IF(B10&gt;E8,B10,0)</f>
        <v>75501</v>
      </c>
      <c r="D8" s="88">
        <f>IF(B10&lt;E8,B10,0)</f>
        <v>0</v>
      </c>
      <c r="E8" s="88">
        <v>33000</v>
      </c>
      <c r="F8" s="88">
        <v>60000</v>
      </c>
    </row>
    <row r="9" spans="1:6" x14ac:dyDescent="0.3">
      <c r="A9" s="80">
        <v>1981</v>
      </c>
      <c r="B9" s="82">
        <f>contrast!B7</f>
        <v>61774</v>
      </c>
      <c r="C9" s="88">
        <f>IF(B11&gt;E9,B11,0)</f>
        <v>63645</v>
      </c>
      <c r="D9" s="88">
        <f>IF(B11&lt;E9,B11,0)</f>
        <v>0</v>
      </c>
      <c r="E9" s="88">
        <v>33000</v>
      </c>
      <c r="F9" s="88">
        <v>60000</v>
      </c>
    </row>
    <row r="10" spans="1:6" x14ac:dyDescent="0.3">
      <c r="A10" s="80">
        <v>1982</v>
      </c>
      <c r="B10" s="82">
        <f>contrast!B8</f>
        <v>75501</v>
      </c>
      <c r="C10" s="88">
        <f>IF(B12&gt;E10,B12,0)</f>
        <v>58188</v>
      </c>
      <c r="D10" s="88">
        <f>IF(B12&lt;E10,B12,0)</f>
        <v>0</v>
      </c>
      <c r="E10" s="88">
        <v>33000</v>
      </c>
      <c r="F10" s="88">
        <v>60000</v>
      </c>
    </row>
    <row r="11" spans="1:6" x14ac:dyDescent="0.3">
      <c r="A11" s="80">
        <v>1983</v>
      </c>
      <c r="B11" s="82">
        <f>contrast!B9</f>
        <v>63645</v>
      </c>
      <c r="C11" s="88">
        <f>IF(B13&gt;E11,B13,0)</f>
        <v>107586</v>
      </c>
      <c r="D11" s="88">
        <f>IF(B13&lt;E11,B13,0)</f>
        <v>0</v>
      </c>
      <c r="E11" s="88">
        <v>33000</v>
      </c>
      <c r="F11" s="88">
        <v>60000</v>
      </c>
    </row>
    <row r="12" spans="1:6" x14ac:dyDescent="0.3">
      <c r="A12" s="80">
        <v>1984</v>
      </c>
      <c r="B12" s="82">
        <f>contrast!B10</f>
        <v>58188</v>
      </c>
      <c r="C12" s="88">
        <f>IF(B14&gt;E12,B14,0)</f>
        <v>71543</v>
      </c>
      <c r="D12" s="88">
        <f>IF(B14&lt;E12,B14,0)</f>
        <v>0</v>
      </c>
      <c r="E12" s="88">
        <v>33000</v>
      </c>
      <c r="F12" s="88">
        <v>60000</v>
      </c>
    </row>
    <row r="13" spans="1:6" x14ac:dyDescent="0.3">
      <c r="A13" s="80">
        <v>1985</v>
      </c>
      <c r="B13" s="82">
        <f>contrast!B11</f>
        <v>107586</v>
      </c>
      <c r="C13" s="88">
        <f>IF(B15&gt;E13,B15,0)</f>
        <v>72720</v>
      </c>
      <c r="D13" s="88">
        <f>IF(B15&lt;E13,B15,0)</f>
        <v>0</v>
      </c>
      <c r="E13" s="88">
        <v>33000</v>
      </c>
      <c r="F13" s="88">
        <v>60000</v>
      </c>
    </row>
    <row r="14" spans="1:6" x14ac:dyDescent="0.3">
      <c r="A14" s="80">
        <v>1986</v>
      </c>
      <c r="B14" s="82">
        <f>contrast!B12</f>
        <v>71543</v>
      </c>
      <c r="C14" s="88">
        <f>IF(B16&gt;E14,B16,0)</f>
        <v>46166.047456689841</v>
      </c>
      <c r="D14" s="88">
        <f>IF(B16&lt;E14,B16,0)</f>
        <v>0</v>
      </c>
      <c r="E14" s="88">
        <v>33000</v>
      </c>
      <c r="F14" s="88">
        <v>60000</v>
      </c>
    </row>
    <row r="15" spans="1:6" x14ac:dyDescent="0.3">
      <c r="A15" s="80">
        <v>1987</v>
      </c>
      <c r="B15" s="82">
        <f>contrast!B13</f>
        <v>72720</v>
      </c>
      <c r="C15" s="88">
        <f>IF(B17&gt;E15,B17,0)</f>
        <v>83680.441356716488</v>
      </c>
      <c r="D15" s="88">
        <f>IF(B17&lt;E15,B17,0)</f>
        <v>0</v>
      </c>
      <c r="E15" s="88">
        <v>33000</v>
      </c>
      <c r="F15" s="88">
        <v>60000</v>
      </c>
    </row>
    <row r="16" spans="1:6" x14ac:dyDescent="0.3">
      <c r="A16" s="80">
        <v>1988</v>
      </c>
      <c r="B16" s="82">
        <f>contrast!B14</f>
        <v>46166.047456689841</v>
      </c>
      <c r="C16" s="88">
        <f>IF(B18&gt;E16,B18,0)</f>
        <v>75246.474138130347</v>
      </c>
      <c r="D16" s="88">
        <f>IF(B18&lt;E16,B18,0)</f>
        <v>0</v>
      </c>
      <c r="E16" s="88">
        <v>33000</v>
      </c>
      <c r="F16" s="88">
        <v>60000</v>
      </c>
    </row>
    <row r="17" spans="1:6" x14ac:dyDescent="0.3">
      <c r="A17" s="80">
        <v>1989</v>
      </c>
      <c r="B17" s="82">
        <f>contrast!B15</f>
        <v>83680.441356716488</v>
      </c>
      <c r="C17" s="88">
        <f>IF(B19&gt;E17,B19,0)</f>
        <v>86602.842621320349</v>
      </c>
      <c r="D17" s="88">
        <f>IF(B19&lt;E17,B19,0)</f>
        <v>0</v>
      </c>
      <c r="E17" s="88">
        <v>33000</v>
      </c>
      <c r="F17" s="88">
        <v>60000</v>
      </c>
    </row>
    <row r="18" spans="1:6" x14ac:dyDescent="0.3">
      <c r="A18" s="80">
        <v>1990</v>
      </c>
      <c r="B18" s="82">
        <f>contrast!B16</f>
        <v>75246.474138130347</v>
      </c>
      <c r="C18" s="88">
        <f>IF(B20&gt;E18,B20,0)</f>
        <v>82589.897839148485</v>
      </c>
      <c r="D18" s="88">
        <f>IF(B20&lt;E18,B20,0)</f>
        <v>0</v>
      </c>
      <c r="E18" s="88">
        <v>33000</v>
      </c>
      <c r="F18" s="88">
        <v>60000</v>
      </c>
    </row>
    <row r="19" spans="1:6" x14ac:dyDescent="0.3">
      <c r="A19" s="80">
        <v>1991</v>
      </c>
      <c r="B19" s="82">
        <f>contrast!B17</f>
        <v>86602.842621320349</v>
      </c>
      <c r="C19" s="88">
        <f>IF(B21&gt;E19,B21,0)</f>
        <v>64819.995946128067</v>
      </c>
      <c r="D19" s="88">
        <f>IF(B21&lt;E19,B21,0)</f>
        <v>0</v>
      </c>
      <c r="E19" s="88">
        <v>33000</v>
      </c>
      <c r="F19" s="88">
        <v>60000</v>
      </c>
    </row>
    <row r="20" spans="1:6" x14ac:dyDescent="0.3">
      <c r="A20" s="80">
        <v>1992</v>
      </c>
      <c r="B20" s="82">
        <f>contrast!B18</f>
        <v>82589.897839148485</v>
      </c>
      <c r="C20" s="88">
        <f>IF(B22&gt;E20,B22,0)</f>
        <v>77409.404500146265</v>
      </c>
      <c r="D20" s="88">
        <f>IF(B22&lt;E20,B22,0)</f>
        <v>0</v>
      </c>
      <c r="E20" s="88">
        <v>33000</v>
      </c>
      <c r="F20" s="88">
        <v>60000</v>
      </c>
    </row>
    <row r="21" spans="1:6" x14ac:dyDescent="0.3">
      <c r="A21" s="80">
        <v>1993</v>
      </c>
      <c r="B21" s="82">
        <f>contrast!B19</f>
        <v>64819.995946128067</v>
      </c>
      <c r="C21" s="88">
        <f>IF(B23&gt;E21,B23,0)</f>
        <v>45470.863832187875</v>
      </c>
      <c r="D21" s="88">
        <f>IF(B23&lt;E21,B23,0)</f>
        <v>0</v>
      </c>
      <c r="E21" s="88">
        <v>33000</v>
      </c>
      <c r="F21" s="88">
        <v>60000</v>
      </c>
    </row>
    <row r="22" spans="1:6" x14ac:dyDescent="0.3">
      <c r="A22" s="80">
        <v>1994</v>
      </c>
      <c r="B22" s="82">
        <f>contrast!B20</f>
        <v>77409.404500146265</v>
      </c>
      <c r="C22" s="88">
        <f>IF(B24&gt;E22,B24,0)</f>
        <v>62569.468843981653</v>
      </c>
      <c r="D22" s="88">
        <f>IF(B24&lt;E22,B24,0)</f>
        <v>0</v>
      </c>
      <c r="E22" s="88">
        <v>33000</v>
      </c>
      <c r="F22" s="88">
        <v>60000</v>
      </c>
    </row>
    <row r="23" spans="1:6" x14ac:dyDescent="0.3">
      <c r="A23" s="80">
        <v>1995</v>
      </c>
      <c r="B23" s="82">
        <f>contrast!B21</f>
        <v>45470.863832187875</v>
      </c>
      <c r="C23" s="88">
        <f>IF(B25&gt;E23,B25,0)</f>
        <v>39902.266244561462</v>
      </c>
      <c r="D23" s="88">
        <f>IF(B25&lt;E23,B25,0)</f>
        <v>0</v>
      </c>
      <c r="E23" s="88">
        <v>33000</v>
      </c>
      <c r="F23" s="88">
        <v>60000</v>
      </c>
    </row>
    <row r="24" spans="1:6" x14ac:dyDescent="0.3">
      <c r="A24" s="80">
        <v>1996</v>
      </c>
      <c r="B24" s="82">
        <f>contrast!B22</f>
        <v>62569.468843981653</v>
      </c>
      <c r="C24" s="88">
        <f>IF(B26&gt;E24,B26,0)</f>
        <v>50059.496485003161</v>
      </c>
      <c r="D24" s="88">
        <f>IF(B26&lt;E24,B26,0)</f>
        <v>0</v>
      </c>
      <c r="E24" s="88">
        <v>33000</v>
      </c>
      <c r="F24" s="88">
        <v>60000</v>
      </c>
    </row>
    <row r="25" spans="1:6" x14ac:dyDescent="0.3">
      <c r="A25" s="80">
        <v>1997</v>
      </c>
      <c r="B25" s="82">
        <f>contrast!B23</f>
        <v>39902.266244561462</v>
      </c>
      <c r="C25" s="88">
        <f>IF(B27&gt;E25,B27,0)</f>
        <v>62465.327558025572</v>
      </c>
      <c r="D25" s="88">
        <f>IF(B27&lt;E25,B27,0)</f>
        <v>0</v>
      </c>
      <c r="E25" s="88">
        <v>33000</v>
      </c>
      <c r="F25" s="88">
        <v>60000</v>
      </c>
    </row>
    <row r="26" spans="1:6" x14ac:dyDescent="0.3">
      <c r="A26" s="80">
        <v>1998</v>
      </c>
      <c r="B26" s="82">
        <f>contrast!B24</f>
        <v>50059.496485003161</v>
      </c>
      <c r="C26" s="88">
        <f>IF(B28&gt;E26,B28,0)</f>
        <v>37823.708543191133</v>
      </c>
      <c r="D26" s="88">
        <f>IF(B28&lt;E26,B28,0)</f>
        <v>0</v>
      </c>
      <c r="E26" s="88">
        <v>33000</v>
      </c>
      <c r="F26" s="88">
        <v>60000</v>
      </c>
    </row>
    <row r="27" spans="1:6" x14ac:dyDescent="0.3">
      <c r="A27" s="80">
        <v>1999</v>
      </c>
      <c r="B27" s="82">
        <f>contrast!B25</f>
        <v>62465.327558025572</v>
      </c>
      <c r="C27" s="88">
        <f>IF(B29&gt;E27,B29,0)</f>
        <v>61924.998840845088</v>
      </c>
      <c r="D27" s="88">
        <f>IF(B29&lt;E27,B29,0)</f>
        <v>0</v>
      </c>
      <c r="E27" s="88">
        <v>33000</v>
      </c>
      <c r="F27" s="88">
        <v>60000</v>
      </c>
    </row>
    <row r="28" spans="1:6" x14ac:dyDescent="0.3">
      <c r="A28" s="80">
        <v>2000</v>
      </c>
      <c r="B28" s="82">
        <f>contrast!B26</f>
        <v>37823.708543191133</v>
      </c>
      <c r="C28" s="88">
        <f>IF(B30&gt;E28,B30,0)</f>
        <v>69747.421864400574</v>
      </c>
      <c r="D28" s="88">
        <f>IF(B30&lt;E28,B30,0)</f>
        <v>0</v>
      </c>
      <c r="E28" s="88">
        <v>33000</v>
      </c>
      <c r="F28" s="88">
        <v>60000</v>
      </c>
    </row>
    <row r="29" spans="1:6" x14ac:dyDescent="0.3">
      <c r="A29" s="80">
        <v>2001</v>
      </c>
      <c r="B29" s="82">
        <f>contrast!B27</f>
        <v>61924.998840845088</v>
      </c>
      <c r="C29" s="88">
        <f>IF(B31&gt;E29,B31,0)</f>
        <v>84858.818815066959</v>
      </c>
      <c r="D29" s="88">
        <f>IF(B31&lt;E29,B31,0)</f>
        <v>0</v>
      </c>
      <c r="E29" s="88">
        <v>33000</v>
      </c>
      <c r="F29" s="88">
        <v>60000</v>
      </c>
    </row>
    <row r="30" spans="1:6" x14ac:dyDescent="0.3">
      <c r="A30" s="80">
        <v>2002</v>
      </c>
      <c r="B30" s="82">
        <f>contrast!B28</f>
        <v>69747.421864400574</v>
      </c>
      <c r="C30" s="88">
        <f>IF(B32&gt;E30,B32,0)</f>
        <v>40679.435185245122</v>
      </c>
      <c r="D30" s="88">
        <f>IF(B32&lt;E30,B32,0)</f>
        <v>0</v>
      </c>
      <c r="E30" s="88">
        <v>33000</v>
      </c>
      <c r="F30" s="88">
        <v>60000</v>
      </c>
    </row>
    <row r="31" spans="1:6" x14ac:dyDescent="0.3">
      <c r="A31" s="80">
        <v>2003</v>
      </c>
      <c r="B31" s="82">
        <f>contrast!B29</f>
        <v>84858.818815066959</v>
      </c>
      <c r="C31" s="88">
        <f>IF(B33&gt;E31,B33,0)</f>
        <v>74065.233734798647</v>
      </c>
      <c r="D31" s="88">
        <f>IF(B33&lt;E31,B33,0)</f>
        <v>0</v>
      </c>
      <c r="E31" s="88">
        <v>33000</v>
      </c>
      <c r="F31" s="88">
        <v>60000</v>
      </c>
    </row>
    <row r="32" spans="1:6" x14ac:dyDescent="0.3">
      <c r="A32" s="80">
        <v>2004</v>
      </c>
      <c r="B32" s="82">
        <f>contrast!B30</f>
        <v>40679.435185245122</v>
      </c>
      <c r="C32" s="88">
        <f>IF(B34&gt;E32,B34,0)</f>
        <v>85133.893123772097</v>
      </c>
      <c r="D32" s="88">
        <f>IF(B34&lt;E32,B34,0)</f>
        <v>0</v>
      </c>
      <c r="E32" s="88">
        <v>33000</v>
      </c>
      <c r="F32" s="88">
        <v>60000</v>
      </c>
    </row>
    <row r="33" spans="1:6" x14ac:dyDescent="0.3">
      <c r="A33" s="80">
        <v>2005</v>
      </c>
      <c r="B33" s="82">
        <f>contrast!B31</f>
        <v>74065.233734798647</v>
      </c>
      <c r="C33" s="88">
        <f>IF(B35&gt;E33,B35,0)</f>
        <v>59938.598810310643</v>
      </c>
      <c r="D33" s="88">
        <f>IF(B35&lt;E33,B35,0)</f>
        <v>0</v>
      </c>
      <c r="E33" s="88">
        <v>33000</v>
      </c>
      <c r="F33" s="88">
        <v>60000</v>
      </c>
    </row>
    <row r="34" spans="1:6" x14ac:dyDescent="0.3">
      <c r="A34" s="80">
        <v>2006</v>
      </c>
      <c r="B34" s="82">
        <f>contrast!B32</f>
        <v>85133.893123772097</v>
      </c>
      <c r="C34" s="88">
        <f>IF(B36&gt;E34,B36,0)</f>
        <v>0</v>
      </c>
      <c r="D34" s="88">
        <f>IF(B36&lt;E34,B36,0)</f>
        <v>29647.660080158377</v>
      </c>
      <c r="E34" s="88">
        <v>33000</v>
      </c>
      <c r="F34" s="88">
        <v>60000</v>
      </c>
    </row>
    <row r="35" spans="1:6" x14ac:dyDescent="0.3">
      <c r="A35" s="80">
        <v>2007</v>
      </c>
      <c r="B35" s="82">
        <f>contrast!B33</f>
        <v>59938.598810310643</v>
      </c>
      <c r="C35" s="88">
        <f>IF(B37&gt;E35,B37,0)</f>
        <v>87454.592297996292</v>
      </c>
      <c r="D35" s="88">
        <f>IF(B37&lt;E35,B37,0)</f>
        <v>0</v>
      </c>
      <c r="E35" s="88">
        <v>33000</v>
      </c>
      <c r="F35" s="88">
        <v>60000</v>
      </c>
    </row>
    <row r="36" spans="1:6" x14ac:dyDescent="0.3">
      <c r="A36" s="80">
        <v>2008</v>
      </c>
      <c r="B36" s="82">
        <f>contrast!B34</f>
        <v>29647.660080158377</v>
      </c>
      <c r="C36" s="88">
        <f>IF(B38&gt;E36,B38,0)</f>
        <v>57196.954942215183</v>
      </c>
      <c r="D36" s="88">
        <f>IF(B38&lt;E36,B38,0)</f>
        <v>0</v>
      </c>
      <c r="E36" s="88">
        <v>33000</v>
      </c>
      <c r="F36" s="88">
        <v>60000</v>
      </c>
    </row>
    <row r="37" spans="1:6" x14ac:dyDescent="0.3">
      <c r="A37" s="80">
        <v>2009</v>
      </c>
      <c r="B37" s="82">
        <f>contrast!B35</f>
        <v>87454.592297996292</v>
      </c>
      <c r="C37" s="88">
        <f>IF(B39&gt;E37,B39,0)</f>
        <v>91371.906763409206</v>
      </c>
      <c r="D37" s="88">
        <f>IF(B39&lt;E37,B39,0)</f>
        <v>0</v>
      </c>
      <c r="E37" s="88">
        <v>33000</v>
      </c>
      <c r="F37" s="88">
        <v>60000</v>
      </c>
    </row>
    <row r="38" spans="1:6" x14ac:dyDescent="0.3">
      <c r="A38" s="80">
        <v>2010</v>
      </c>
      <c r="B38" s="82">
        <f>contrast!B36</f>
        <v>57196.954942215183</v>
      </c>
      <c r="C38" s="88">
        <f>IF(B40&gt;E38,B40,0)</f>
        <v>63646.529331686623</v>
      </c>
      <c r="D38" s="88">
        <f>IF(B40&lt;E38,B40,0)</f>
        <v>0</v>
      </c>
      <c r="E38" s="88">
        <v>33000</v>
      </c>
      <c r="F38" s="88">
        <v>60000</v>
      </c>
    </row>
    <row r="39" spans="1:6" x14ac:dyDescent="0.3">
      <c r="A39" s="80">
        <v>2011</v>
      </c>
      <c r="B39" s="82">
        <f>contrast!B37</f>
        <v>91371.906763409206</v>
      </c>
      <c r="C39" s="88">
        <f>IF(B41&gt;E39,B41,0)</f>
        <v>127609.41559890099</v>
      </c>
      <c r="D39" s="88">
        <f>IF(B41&lt;E39,B41,0)</f>
        <v>0</v>
      </c>
      <c r="E39" s="88">
        <v>33000</v>
      </c>
      <c r="F39" s="88">
        <v>60000</v>
      </c>
    </row>
    <row r="40" spans="1:6" x14ac:dyDescent="0.3">
      <c r="A40" s="80">
        <v>2012</v>
      </c>
      <c r="B40" s="82">
        <f>contrast!B38</f>
        <v>63646.529331686623</v>
      </c>
      <c r="C40" s="89">
        <f>IF(B42&gt;E40,B42,0)</f>
        <v>107518.04799825477</v>
      </c>
      <c r="D40" s="89">
        <f>IF(B42&lt;E40,B42,0)</f>
        <v>0</v>
      </c>
      <c r="E40" s="88">
        <v>33000</v>
      </c>
      <c r="F40" s="88">
        <v>60000</v>
      </c>
    </row>
    <row r="41" spans="1:6" x14ac:dyDescent="0.3">
      <c r="A41" s="80">
        <v>2013</v>
      </c>
      <c r="B41" s="82">
        <f>contrast!B39</f>
        <v>127609.41559890099</v>
      </c>
      <c r="C41" s="89">
        <f>IF(B43&gt;E41,B43,0)</f>
        <v>97221.450888078136</v>
      </c>
      <c r="D41" s="89">
        <f>IF(B43&lt;E41,B43,0)</f>
        <v>0</v>
      </c>
      <c r="E41" s="88">
        <v>33000</v>
      </c>
      <c r="F41" s="88">
        <v>60000</v>
      </c>
    </row>
    <row r="42" spans="1:6" x14ac:dyDescent="0.3">
      <c r="A42" s="80">
        <v>2014</v>
      </c>
      <c r="B42" s="82">
        <f>contrast!B40</f>
        <v>107518.04799825477</v>
      </c>
      <c r="C42" s="89">
        <f>IF(B44&gt;E42,B44,0)</f>
        <v>53865.987270574304</v>
      </c>
      <c r="D42" s="89">
        <f>IF(B44&lt;E42,B44,0)</f>
        <v>0</v>
      </c>
      <c r="E42" s="88">
        <v>33000</v>
      </c>
      <c r="F42" s="88">
        <v>60000</v>
      </c>
    </row>
    <row r="43" spans="1:6" x14ac:dyDescent="0.3">
      <c r="A43" s="80">
        <v>2015</v>
      </c>
      <c r="B43" s="82">
        <f>contrast!B41</f>
        <v>97221.450888078136</v>
      </c>
      <c r="C43" s="89">
        <f>IF(B45&gt;E43,B45,0)</f>
        <v>89808.844379612477</v>
      </c>
      <c r="D43" s="89">
        <f>IF(B45&lt;E43,B45,0)</f>
        <v>0</v>
      </c>
      <c r="E43" s="88">
        <v>33000</v>
      </c>
      <c r="F43" s="88">
        <v>60000</v>
      </c>
    </row>
    <row r="44" spans="1:6" x14ac:dyDescent="0.3">
      <c r="A44" s="80">
        <v>2016</v>
      </c>
      <c r="B44" s="82">
        <f>contrast!B42</f>
        <v>53865.987270574304</v>
      </c>
      <c r="C44" s="89">
        <f>IF(B46&gt;E44,B46,0)</f>
        <v>0</v>
      </c>
      <c r="D44" s="89">
        <f>IF(B46&lt;E44,B46,0)</f>
        <v>27639.80677385422</v>
      </c>
      <c r="E44" s="88">
        <v>33000</v>
      </c>
      <c r="F44" s="88">
        <v>60000</v>
      </c>
    </row>
    <row r="45" spans="1:6" x14ac:dyDescent="0.3">
      <c r="A45" s="80">
        <v>2017</v>
      </c>
      <c r="B45" s="82">
        <f>contrast!B43</f>
        <v>89808.844379612477</v>
      </c>
      <c r="C45" s="89">
        <f>IF(B47&gt;E45,B47,0)</f>
        <v>70958.096114757413</v>
      </c>
      <c r="D45" s="89">
        <f>IF(B47&lt;E45,B47,0)</f>
        <v>0</v>
      </c>
      <c r="E45" s="88">
        <v>33000</v>
      </c>
      <c r="F45" s="88">
        <v>60000</v>
      </c>
    </row>
    <row r="46" spans="1:6" x14ac:dyDescent="0.3">
      <c r="A46" s="80">
        <v>2018</v>
      </c>
      <c r="B46" s="82">
        <f>contrast!B44</f>
        <v>27639.80677385422</v>
      </c>
      <c r="C46" s="89">
        <f>IF(B48&gt;E46,B48,0)</f>
        <v>64563.269453355999</v>
      </c>
      <c r="D46" s="89">
        <f>IF(B48&lt;E46,B48,0)</f>
        <v>0</v>
      </c>
      <c r="E46" s="88">
        <v>33000</v>
      </c>
      <c r="F46" s="88">
        <v>60000</v>
      </c>
    </row>
    <row r="47" spans="1:6" x14ac:dyDescent="0.3">
      <c r="A47" s="80">
        <v>2019</v>
      </c>
      <c r="B47" s="82">
        <f>contrast!B45</f>
        <v>70958.096114757413</v>
      </c>
      <c r="C47" s="89">
        <f>IF(B49&gt;E47,B49,0)</f>
        <v>115592.15678229186</v>
      </c>
      <c r="D47" s="89">
        <f>IF(B49&lt;E47,B49,0)</f>
        <v>0</v>
      </c>
      <c r="E47" s="88">
        <v>33000</v>
      </c>
      <c r="F47" s="88">
        <v>60000</v>
      </c>
    </row>
    <row r="48" spans="1:6" x14ac:dyDescent="0.3">
      <c r="A48" s="80">
        <v>2020</v>
      </c>
      <c r="B48" s="82">
        <f>contrast!B46</f>
        <v>64563.269453355999</v>
      </c>
      <c r="C48" s="89">
        <f>IF(B50&gt;E48,B50,0)</f>
        <v>93843.775567626319</v>
      </c>
      <c r="D48" s="89">
        <f>IF(B50&lt;E48,B50,0)</f>
        <v>0</v>
      </c>
      <c r="E48" s="88">
        <v>33000</v>
      </c>
      <c r="F48" s="88">
        <v>60000</v>
      </c>
    </row>
    <row r="49" spans="1:6" x14ac:dyDescent="0.3">
      <c r="A49" s="80">
        <v>2021</v>
      </c>
      <c r="B49" s="82">
        <f>contrast!B47</f>
        <v>115592.15678229186</v>
      </c>
      <c r="C49" s="89">
        <f>IF(B51&gt;E49,B51,0)</f>
        <v>138241.32857943233</v>
      </c>
      <c r="D49" s="89">
        <f>IF(B51&lt;E49,B51,0)</f>
        <v>0</v>
      </c>
      <c r="E49" s="88">
        <v>33000</v>
      </c>
      <c r="F49" s="88">
        <v>60000</v>
      </c>
    </row>
    <row r="50" spans="1:6" x14ac:dyDescent="0.3">
      <c r="A50" s="80">
        <v>2022</v>
      </c>
      <c r="B50" s="82">
        <f>contrast!B48</f>
        <v>93843.775567626319</v>
      </c>
      <c r="C50" s="89">
        <f>IF(B52&gt;E50,B52,0)</f>
        <v>67895.475780120963</v>
      </c>
      <c r="D50" s="89">
        <f>IF(B52&lt;E50,B52,0)</f>
        <v>0</v>
      </c>
      <c r="E50" s="88">
        <v>33000</v>
      </c>
      <c r="F50" s="88">
        <v>60000</v>
      </c>
    </row>
    <row r="51" spans="1:6" x14ac:dyDescent="0.3">
      <c r="A51" s="80">
        <v>2023</v>
      </c>
      <c r="B51" s="82">
        <f>contrast!B49</f>
        <v>138241.32857943233</v>
      </c>
    </row>
    <row r="52" spans="1:6" x14ac:dyDescent="0.3">
      <c r="A52" s="80">
        <v>2024</v>
      </c>
      <c r="B52" s="82">
        <f>contrast!B50</f>
        <v>67895.475780120963</v>
      </c>
    </row>
    <row r="53" spans="1:6" x14ac:dyDescent="0.3">
      <c r="A53" s="83"/>
      <c r="B53" s="82"/>
      <c r="C53" s="90"/>
      <c r="D53" s="90"/>
      <c r="E53" s="91"/>
      <c r="F53" s="9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2026-04-28T20:37:53Z</dcterms:modified>
</cp:coreProperties>
</file>