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output\"/>
    </mc:Choice>
  </mc:AlternateContent>
  <xr:revisionPtr revIDLastSave="0" documentId="13_ncr:1_{38BE9AB7-BEC1-4B9F-B3E7-9CF3BD414CC9}" xr6:coauthVersionLast="47" xr6:coauthVersionMax="47" xr10:uidLastSave="{00000000-0000-0000-0000-000000000000}"/>
  <bookViews>
    <workbookView xWindow="28680" yWindow="-120" windowWidth="29040" windowHeight="15720" xr2:uid="{35461162-1989-47CD-B278-97D1C84D2CE8}"/>
  </bookViews>
  <sheets>
    <sheet name="params" sheetId="1" r:id="rId1"/>
    <sheet name="yield 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2" i="1"/>
  <c r="E15" i="1" l="1"/>
  <c r="E11" i="1"/>
  <c r="E13" i="1"/>
  <c r="E14" i="1"/>
  <c r="E10" i="1"/>
  <c r="E9" i="1"/>
  <c r="E8" i="1"/>
  <c r="E7" i="1"/>
  <c r="E4" i="1"/>
</calcChain>
</file>

<file path=xl/sharedStrings.xml><?xml version="1.0" encoding="utf-8"?>
<sst xmlns="http://schemas.openxmlformats.org/spreadsheetml/2006/main" count="34" uniqueCount="33">
  <si>
    <t>Table 1: Summary Output</t>
  </si>
  <si>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</si>
  <si>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</si>
  <si>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</si>
  <si>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</si>
  <si>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</si>
  <si>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</si>
  <si>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</si>
  <si>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</si>
  <si>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</si>
  <si>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r>
      <rPr>
        <i/>
        <sz val="10"/>
        <rFont val="Aptos Display"/>
        <family val="1"/>
        <scheme val="major"/>
      </rPr>
      <t>S</t>
    </r>
    <r>
      <rPr>
        <vertAlign val="subscript"/>
        <sz val="10"/>
        <rFont val="Aptos Display"/>
        <family val="1"/>
        <scheme val="major"/>
      </rPr>
      <t>EQ</t>
    </r>
  </si>
  <si>
    <r>
      <rPr>
        <i/>
        <sz val="10"/>
        <rFont val="Aptos Display"/>
        <family val="1"/>
        <scheme val="major"/>
      </rPr>
      <t>S</t>
    </r>
    <r>
      <rPr>
        <vertAlign val="subscript"/>
        <sz val="10"/>
        <rFont val="Aptos Display"/>
        <family val="1"/>
        <scheme val="major"/>
      </rPr>
      <t>MAX</t>
    </r>
  </si>
  <si>
    <r>
      <rPr>
        <i/>
        <sz val="10"/>
        <rFont val="Aptos Display"/>
        <family val="1"/>
        <scheme val="major"/>
      </rPr>
      <t>S</t>
    </r>
    <r>
      <rPr>
        <vertAlign val="subscript"/>
        <sz val="10"/>
        <rFont val="Aptos Display"/>
        <family val="1"/>
        <scheme val="major"/>
      </rPr>
      <t>MSY(Lambert W))</t>
    </r>
  </si>
  <si>
    <r>
      <rPr>
        <sz val="10"/>
        <rFont val="Aptos Display"/>
        <family val="1"/>
        <scheme val="major"/>
      </rPr>
      <t>U</t>
    </r>
    <r>
      <rPr>
        <vertAlign val="subscript"/>
        <sz val="10"/>
        <rFont val="Aptos Display"/>
        <family val="1"/>
        <scheme val="major"/>
      </rPr>
      <t>MSY(Lambert W)</t>
    </r>
  </si>
  <si>
    <t>*Posterior distributions; burn-in period 10,000 iterations (discarded iterations).</t>
  </si>
  <si>
    <t xml:space="preserve">Three Markov chains inititated. Inferences derived from 1,000,000 for threE chains thinned by 1000 MCMC </t>
  </si>
  <si>
    <t xml:space="preserve">updates retained from each chain. 95% credible intervals. Model Source: Fleischman et al. 2013 CJFAS. </t>
  </si>
  <si>
    <t>ENTER DATA HERE FROM R OUTPUT</t>
  </si>
  <si>
    <t>OY0.9</t>
  </si>
  <si>
    <t>OY0.8</t>
  </si>
  <si>
    <t>OR0.9</t>
  </si>
  <si>
    <t>OR0.8</t>
  </si>
  <si>
    <t>OF0.9</t>
  </si>
  <si>
    <t>OF0.8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</si>
  <si>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</si>
  <si>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</si>
  <si>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</si>
  <si>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</si>
  <si>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</si>
  <si>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</si>
  <si>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r>
      <rPr>
        <i/>
        <sz val="10"/>
        <rFont val="Aptos Display"/>
        <family val="1"/>
        <scheme val="major"/>
      </rPr>
      <t>S</t>
    </r>
    <r>
      <rPr>
        <vertAlign val="subscript"/>
        <sz val="10"/>
        <rFont val="Aptos Display"/>
        <family val="1"/>
        <scheme val="major"/>
      </rPr>
      <t>MSY.c(Lambert W))</t>
    </r>
  </si>
  <si>
    <r>
      <rPr>
        <sz val="10"/>
        <rFont val="Aptos Display"/>
        <family val="1"/>
        <scheme val="major"/>
      </rPr>
      <t>U</t>
    </r>
    <r>
      <rPr>
        <vertAlign val="subscript"/>
        <sz val="10"/>
        <rFont val="Aptos Display"/>
        <family val="1"/>
        <scheme val="major"/>
      </rPr>
      <t>MSY.c(Lambert W)</t>
    </r>
  </si>
  <si>
    <t>MSY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</si>
</sst>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i/>
      <sz val="10"/>
      <name val="Aptos Display"/>
      <family val="1"/>
      <scheme val="major"/>
    </font>
    <font>
      <vertAlign val="subscript"/>
      <sz val="10"/>
      <name val="Aptos Display"/>
      <family val="1"/>
      <scheme val="major"/>
    </font>
    <font>
      <b/>
      <sz val="10"/>
      <color rgb="FFFF0000"/>
      <name val="Aptos Display"/>
      <family val="1"/>
      <scheme val="major"/>
    </font>
    <font>
      <sz val="10"/>
      <name val="Arial"/>
      <family val="2"/>
    </font>
    <font>
      <sz val="9"/>
      <name val="Aptos Display"/>
      <family val="1"/>
      <scheme val="major"/>
    </font>
    <font>
      <b/>
      <sz val="10"/>
      <name val="Aptos Display"/>
      <family val="1"/>
      <scheme val="major"/>
    </font>
    <font>
      <b/>
      <sz val="11"/>
      <color rgb="FFFF0000"/>
      <name val="Aptos Display"/>
      <family val="1"/>
      <scheme val="major"/>
    </font>
    <font>
      <b/>
      <sz val="10"/>
      <color rgb="FFFF0000"/>
      <name val="Arial"/>
      <family val="2"/>
    </font>
    <font>
      <sz val="11"/>
      <color theme="1"/>
      <name val="Aptos Display"/>
      <family val="1"/>
      <scheme val="major"/>
    </font>
    <font>
      <b/>
      <sz val="10"/>
      <color theme="1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1" fillId="0" borderId="0"/>
    <xf numFmtId="0" fontId="1" fillId="0" borderId="0"/>
  </cellStyleXfs>
  <cellXfs count="75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horizontal="center"/>
    </xf>
    <xf numFmtId="2" fontId="4" fillId="0" borderId="0" xfId="1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/>
    <xf numFmtId="9" fontId="14" fillId="0" borderId="3" xfId="2" applyNumberFormat="1" applyFont="1" applyBorder="1" applyAlignment="1">
      <alignment horizontal="center" vertical="center"/>
    </xf>
    <xf numFmtId="9" fontId="10" fillId="0" borderId="4" xfId="1" applyNumberFormat="1" applyFont="1" applyBorder="1" applyAlignment="1">
      <alignment horizontal="center" vertical="center"/>
    </xf>
    <xf numFmtId="9" fontId="10" fillId="2" borderId="4" xfId="1" applyNumberFormat="1" applyFont="1" applyFill="1" applyBorder="1" applyAlignment="1">
      <alignment horizontal="center" vertical="center"/>
    </xf>
    <xf numFmtId="9" fontId="10" fillId="3" borderId="4" xfId="1" applyNumberFormat="1" applyFont="1" applyFill="1" applyBorder="1" applyAlignment="1">
      <alignment horizontal="center" vertical="center"/>
    </xf>
    <xf numFmtId="9" fontId="10" fillId="3" borderId="4" xfId="1" applyNumberFormat="1" applyFont="1" applyFill="1" applyBorder="1" applyAlignment="1">
      <alignment horizontal="center"/>
    </xf>
    <xf numFmtId="9" fontId="10" fillId="4" borderId="4" xfId="1" applyNumberFormat="1" applyFont="1" applyFill="1" applyBorder="1" applyAlignment="1">
      <alignment horizontal="center"/>
    </xf>
    <xf numFmtId="9" fontId="10" fillId="0" borderId="4" xfId="1" applyNumberFormat="1" applyFont="1" applyBorder="1" applyAlignment="1">
      <alignment horizontal="center"/>
    </xf>
    <xf numFmtId="9" fontId="15" fillId="0" borderId="4" xfId="0" applyNumberFormat="1" applyFont="1" applyBorder="1"/>
    <xf numFmtId="9" fontId="15" fillId="0" borderId="5" xfId="0" applyNumberFormat="1" applyFont="1" applyBorder="1"/>
    <xf numFmtId="9" fontId="15" fillId="0" borderId="0" xfId="0" applyNumberFormat="1" applyFont="1"/>
    <xf numFmtId="9" fontId="14" fillId="0" borderId="6" xfId="2" applyNumberFormat="1" applyFont="1" applyBorder="1" applyAlignment="1">
      <alignment horizontal="center" vertical="center"/>
    </xf>
    <xf numFmtId="9" fontId="10" fillId="0" borderId="0" xfId="1" applyNumberFormat="1" applyFont="1" applyAlignment="1">
      <alignment horizontal="center" vertical="center"/>
    </xf>
    <xf numFmtId="9" fontId="10" fillId="2" borderId="0" xfId="1" applyNumberFormat="1" applyFont="1" applyFill="1" applyAlignment="1">
      <alignment horizontal="center" vertical="center"/>
    </xf>
    <xf numFmtId="9" fontId="10" fillId="3" borderId="0" xfId="1" applyNumberFormat="1" applyFont="1" applyFill="1" applyAlignment="1">
      <alignment horizontal="center" vertical="center"/>
    </xf>
    <xf numFmtId="9" fontId="10" fillId="3" borderId="0" xfId="0" applyNumberFormat="1" applyFont="1" applyFill="1" applyAlignment="1">
      <alignment horizontal="center" vertical="center"/>
    </xf>
    <xf numFmtId="9" fontId="10" fillId="3" borderId="0" xfId="0" applyNumberFormat="1" applyFont="1" applyFill="1" applyAlignment="1">
      <alignment horizontal="center"/>
    </xf>
    <xf numFmtId="9" fontId="10" fillId="4" borderId="0" xfId="0" applyNumberFormat="1" applyFont="1" applyFill="1" applyAlignment="1">
      <alignment horizontal="center"/>
    </xf>
    <xf numFmtId="9" fontId="10" fillId="0" borderId="0" xfId="1" applyNumberFormat="1" applyFont="1" applyAlignment="1">
      <alignment horizontal="center"/>
    </xf>
    <xf numFmtId="9" fontId="15" fillId="0" borderId="7" xfId="0" applyNumberFormat="1" applyFont="1" applyBorder="1"/>
    <xf numFmtId="9" fontId="16" fillId="0" borderId="6" xfId="2" applyNumberFormat="1" applyFont="1" applyBorder="1" applyAlignment="1">
      <alignment horizontal="center" vertical="center"/>
    </xf>
    <xf numFmtId="9" fontId="4" fillId="0" borderId="0" xfId="1" applyNumberFormat="1" applyFont="1" applyAlignment="1">
      <alignment horizontal="center" vertical="center"/>
    </xf>
    <xf numFmtId="9" fontId="10" fillId="3" borderId="0" xfId="1" applyNumberFormat="1" applyFont="1" applyFill="1" applyAlignment="1">
      <alignment horizontal="center"/>
    </xf>
    <xf numFmtId="9" fontId="10" fillId="4" borderId="0" xfId="1" applyNumberFormat="1" applyFont="1" applyFill="1" applyAlignment="1">
      <alignment horizontal="center"/>
    </xf>
    <xf numFmtId="9" fontId="4" fillId="0" borderId="0" xfId="1" applyNumberFormat="1" applyFont="1" applyAlignment="1">
      <alignment horizontal="center"/>
    </xf>
    <xf numFmtId="9" fontId="0" fillId="0" borderId="0" xfId="0" applyNumberFormat="1"/>
    <xf numFmtId="9" fontId="0" fillId="0" borderId="7" xfId="0" applyNumberFormat="1" applyBorder="1"/>
    <xf numFmtId="2" fontId="16" fillId="0" borderId="6" xfId="2" applyNumberFormat="1" applyFon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2" borderId="0" xfId="0" applyNumberFormat="1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" fontId="4" fillId="4" borderId="0" xfId="0" applyNumberFormat="1" applyFont="1" applyFill="1" applyAlignment="1">
      <alignment horizontal="center" vertical="center"/>
    </xf>
    <xf numFmtId="0" fontId="0" fillId="0" borderId="7" xfId="0" applyBorder="1"/>
    <xf numFmtId="2" fontId="16" fillId="3" borderId="6" xfId="2" applyNumberFormat="1" applyFont="1" applyFill="1" applyBorder="1" applyAlignment="1">
      <alignment horizontal="center" vertical="center"/>
    </xf>
    <xf numFmtId="165" fontId="4" fillId="3" borderId="0" xfId="1" applyNumberFormat="1" applyFont="1" applyFill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17" fillId="3" borderId="0" xfId="1" applyNumberFormat="1" applyFont="1" applyFill="1" applyAlignment="1">
      <alignment horizontal="center" vertical="center"/>
    </xf>
    <xf numFmtId="1" fontId="4" fillId="3" borderId="0" xfId="1" applyNumberFormat="1" applyFont="1" applyFill="1" applyAlignment="1">
      <alignment horizontal="center"/>
    </xf>
    <xf numFmtId="1" fontId="4" fillId="0" borderId="0" xfId="1" applyNumberFormat="1" applyFont="1" applyAlignment="1">
      <alignment horizontal="center"/>
    </xf>
    <xf numFmtId="1" fontId="4" fillId="4" borderId="0" xfId="1" applyNumberFormat="1" applyFont="1" applyFill="1" applyAlignment="1">
      <alignment horizontal="center"/>
    </xf>
    <xf numFmtId="2" fontId="4" fillId="3" borderId="0" xfId="1" applyNumberFormat="1" applyFont="1" applyFill="1"/>
    <xf numFmtId="0" fontId="0" fillId="3" borderId="0" xfId="0" applyFill="1"/>
    <xf numFmtId="0" fontId="0" fillId="3" borderId="7" xfId="0" applyFill="1" applyBorder="1"/>
    <xf numFmtId="2" fontId="3" fillId="0" borderId="8" xfId="0" applyNumberFormat="1" applyFont="1" applyBorder="1" applyAlignment="1">
      <alignment horizontal="center" vertical="center"/>
    </xf>
    <xf numFmtId="165" fontId="4" fillId="0" borderId="9" xfId="1" applyNumberFormat="1" applyFont="1" applyBorder="1" applyAlignment="1">
      <alignment horizontal="center" vertical="center"/>
    </xf>
    <xf numFmtId="165" fontId="4" fillId="2" borderId="9" xfId="1" applyNumberFormat="1" applyFont="1" applyFill="1" applyBorder="1" applyAlignment="1">
      <alignment horizontal="center" vertical="center"/>
    </xf>
    <xf numFmtId="165" fontId="4" fillId="4" borderId="9" xfId="1" applyNumberFormat="1" applyFont="1" applyFill="1" applyBorder="1" applyAlignment="1">
      <alignment horizontal="center" vertical="center"/>
    </xf>
    <xf numFmtId="165" fontId="4" fillId="0" borderId="10" xfId="1" applyNumberFormat="1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2" fontId="3" fillId="0" borderId="0" xfId="0" applyNumberFormat="1" applyFont="1" applyBorder="1" applyAlignment="1">
      <alignment horizontal="center" vertical="center"/>
    </xf>
    <xf numFmtId="11" fontId="5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3" fontId="3" fillId="0" borderId="0" xfId="0" applyNumberFormat="1" applyFont="1" applyBorder="1" applyAlignment="1">
      <alignment horizontal="center" vertical="center"/>
    </xf>
    <xf numFmtId="1" fontId="10" fillId="0" borderId="0" xfId="0" applyNumberFormat="1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0" fillId="0" borderId="2" xfId="0" applyBorder="1"/>
  </cellXfs>
  <cellStyles count="3">
    <cellStyle name="Normal" xfId="0" builtinId="0"/>
    <cellStyle name="Normal 13 2" xfId="1" xr:uid="{DD92104E-6C0B-46A8-A6FB-2DA2BA144C28}"/>
    <cellStyle name="Normal 50" xfId="2" xr:uid="{7BE4F889-4272-4C27-90A2-E4907B96AF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E20"/>
  <sheetViews>
    <sheetView tabSelected="1" workbookViewId="0">
      <selection activeCell="H10" sqref="H10"/>
    </sheetView>
  </sheetViews>
  <sheetFormatPr defaultRowHeight="14.4" x14ac:dyDescent="0.3"/>
  <cols>
    <col min="1" max="1" width="13.109375" customWidth="1"/>
    <col min="2" max="2" width="8.88671875" customWidth="1"/>
    <col min="3" max="3" width="10.109375" customWidth="1"/>
    <col min="4" max="4" width="12.5546875" customWidth="1"/>
    <col min="5" max="5" width="16.21875" customWidth="1"/>
  </cols>
  <sheetData>
    <row r="1" spans="1:5" ht="15.6" x14ac:dyDescent="0.3">
      <c r="A1" s="1" t="s">
        <v>0</v>
      </c>
      <c r="B1" s="2"/>
      <c r="C1" s="2"/>
      <c r="D1" s="2"/>
      <c r="E1" s="2"/>
    </row>
    <row r="2" spans="1:5" x14ac:dyDescent="0.3">
      <c r="A2" s="3"/>
      <c r="B2" s="64"/>
      <c r="C2" s="64"/>
      <c r="D2" s="64"/>
      <c r="E2" s="4"/>
    </row>
    <row r="3" spans="1:5" x14ac:dyDescent="0.3">
      <c r="A3" s="6" t="s">
        <v>1</v>
      </c>
      <c r="B3" s="7">
        <v>2.5000000000000001E-2</v>
      </c>
      <c r="C3" s="8" t="s">
        <v>2</v>
      </c>
      <c r="D3" s="7">
        <v>0.97499999999999998</v>
      </c>
      <c r="E3" s="8" t="s">
        <v>3</v>
      </c>
    </row>
    <row r="4" spans="1:5" x14ac:dyDescent="0.3">
      <c r="A4" s="9" t="s">
        <v>4</v>
      </c>
      <c r="B4" s="10"/>
      <c r="C4" s="10"/>
      <c r="D4" s="10"/>
      <c r="E4" s="10" t="e">
        <f t="shared" ref="E4:E14" si="0">H4/G4</f>
        <v>#DIV/0!</v>
      </c>
    </row>
    <row r="5" spans="1:5" x14ac:dyDescent="0.3">
      <c r="A5" s="72" t="s">
        <v>29</v>
      </c>
      <c r="B5" s="66"/>
      <c r="C5" s="66"/>
      <c r="D5" s="66"/>
      <c r="E5" s="66"/>
    </row>
    <row r="6" spans="1:5" x14ac:dyDescent="0.3">
      <c r="A6" s="67" t="s">
        <v>7</v>
      </c>
      <c r="B6" s="66"/>
      <c r="C6" s="66"/>
      <c r="D6" s="66"/>
      <c r="E6" s="66"/>
    </row>
    <row r="7" spans="1:5" x14ac:dyDescent="0.3">
      <c r="A7" s="65" t="s">
        <v>5</v>
      </c>
      <c r="B7" s="66"/>
      <c r="C7" s="66"/>
      <c r="D7" s="66"/>
      <c r="E7" s="66" t="e">
        <f t="shared" si="0"/>
        <v>#DIV/0!</v>
      </c>
    </row>
    <row r="8" spans="1:5" x14ac:dyDescent="0.3">
      <c r="A8" s="65" t="s">
        <v>6</v>
      </c>
      <c r="B8" s="66"/>
      <c r="C8" s="66"/>
      <c r="D8" s="66"/>
      <c r="E8" s="66" t="e">
        <f t="shared" si="0"/>
        <v>#DIV/0!</v>
      </c>
    </row>
    <row r="9" spans="1:5" x14ac:dyDescent="0.3">
      <c r="A9" s="68" t="s">
        <v>8</v>
      </c>
      <c r="B9" s="66"/>
      <c r="C9" s="66"/>
      <c r="D9" s="66"/>
      <c r="E9" s="66" t="e">
        <f t="shared" si="0"/>
        <v>#DIV/0!</v>
      </c>
    </row>
    <row r="10" spans="1:5" ht="15.6" x14ac:dyDescent="0.3">
      <c r="A10" s="68" t="s">
        <v>9</v>
      </c>
      <c r="B10" s="66"/>
      <c r="C10" s="66"/>
      <c r="D10" s="66"/>
      <c r="E10" s="66" t="e">
        <f t="shared" si="0"/>
        <v>#DIV/0!</v>
      </c>
    </row>
    <row r="11" spans="1:5" ht="15" x14ac:dyDescent="0.3">
      <c r="A11" s="65" t="s">
        <v>12</v>
      </c>
      <c r="B11" s="70"/>
      <c r="C11" s="70"/>
      <c r="D11" s="70"/>
      <c r="E11" s="66" t="e">
        <f>H11/G11</f>
        <v>#DIV/0!</v>
      </c>
    </row>
    <row r="12" spans="1:5" ht="15" x14ac:dyDescent="0.3">
      <c r="A12" s="65" t="s">
        <v>30</v>
      </c>
      <c r="B12" s="70"/>
      <c r="C12" s="70"/>
      <c r="D12" s="70"/>
      <c r="E12" s="66" t="e">
        <f t="shared" ref="E12" si="1">H12/G12</f>
        <v>#DIV/0!</v>
      </c>
    </row>
    <row r="13" spans="1:5" ht="15" x14ac:dyDescent="0.3">
      <c r="A13" s="65" t="s">
        <v>11</v>
      </c>
      <c r="B13" s="69"/>
      <c r="C13" s="69"/>
      <c r="D13" s="69"/>
      <c r="E13" s="66" t="e">
        <f>H13/G13</f>
        <v>#DIV/0!</v>
      </c>
    </row>
    <row r="14" spans="1:5" ht="15" x14ac:dyDescent="0.3">
      <c r="A14" s="65" t="s">
        <v>10</v>
      </c>
      <c r="B14" s="69"/>
      <c r="C14" s="69"/>
      <c r="D14" s="69"/>
      <c r="E14" s="66" t="e">
        <f t="shared" si="0"/>
        <v>#DIV/0!</v>
      </c>
    </row>
    <row r="15" spans="1:5" ht="15" x14ac:dyDescent="0.3">
      <c r="A15" s="71" t="s">
        <v>13</v>
      </c>
      <c r="B15" s="66"/>
      <c r="C15" s="66"/>
      <c r="D15" s="66"/>
      <c r="E15" s="66" t="e">
        <f>H15/G15</f>
        <v>#DIV/0!</v>
      </c>
    </row>
    <row r="16" spans="1:5" ht="15" x14ac:dyDescent="0.3">
      <c r="A16" s="71" t="s">
        <v>31</v>
      </c>
      <c r="B16" s="66"/>
      <c r="C16" s="66"/>
      <c r="D16" s="66"/>
      <c r="E16" s="66" t="e">
        <f>H16/G16</f>
        <v>#DIV/0!</v>
      </c>
    </row>
    <row r="17" spans="1:5" x14ac:dyDescent="0.3">
      <c r="A17" s="73" t="s">
        <v>32</v>
      </c>
      <c r="B17" s="74"/>
      <c r="C17" s="74"/>
      <c r="D17" s="74"/>
      <c r="E17" s="74"/>
    </row>
    <row r="18" spans="1:5" x14ac:dyDescent="0.3">
      <c r="A18" s="11" t="s">
        <v>14</v>
      </c>
      <c r="B18" s="12"/>
      <c r="C18" s="12"/>
      <c r="D18" s="12"/>
      <c r="E18" s="12"/>
    </row>
    <row r="19" spans="1:5" x14ac:dyDescent="0.3">
      <c r="A19" s="11" t="s">
        <v>15</v>
      </c>
      <c r="B19" s="12"/>
      <c r="C19" s="12"/>
      <c r="D19" s="12"/>
      <c r="E19" s="12"/>
    </row>
    <row r="20" spans="1:5" x14ac:dyDescent="0.3">
      <c r="A20" s="11" t="s">
        <v>16</v>
      </c>
      <c r="B20" s="5"/>
      <c r="C20" s="5"/>
      <c r="D20" s="5"/>
      <c r="E20" s="5"/>
    </row>
  </sheetData>
  <mergeCells count="1">
    <mergeCell ref="B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BU13"/>
  <sheetViews>
    <sheetView workbookViewId="0">
      <selection activeCell="N22" sqref="N22"/>
    </sheetView>
  </sheetViews>
  <sheetFormatPr defaultRowHeight="14.4" x14ac:dyDescent="0.3"/>
  <sheetData>
    <row r="1" spans="1:73" ht="15" thickBot="1" x14ac:dyDescent="0.35">
      <c r="A1" s="63" t="s">
        <v>17</v>
      </c>
      <c r="B1" s="63"/>
      <c r="C1" s="63"/>
      <c r="D1" s="6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</row>
    <row r="2" spans="1:73" s="25" customFormat="1" x14ac:dyDescent="0.3">
      <c r="A2" s="16" t="s">
        <v>18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6.6666700000000002E-4</v>
      </c>
      <c r="J2" s="17">
        <v>5.0000000000000001E-3</v>
      </c>
      <c r="K2" s="17">
        <v>0.05</v>
      </c>
      <c r="L2" s="17">
        <v>0.141666667</v>
      </c>
      <c r="M2" s="17">
        <v>0.264333333</v>
      </c>
      <c r="N2" s="17">
        <v>0.40500000000000003</v>
      </c>
      <c r="O2" s="17">
        <v>0.52333333299999996</v>
      </c>
      <c r="P2" s="18">
        <v>0.61966666699999995</v>
      </c>
      <c r="Q2" s="19">
        <v>0.69799999999999995</v>
      </c>
      <c r="R2" s="19">
        <v>0.76033333299999994</v>
      </c>
      <c r="S2" s="19">
        <v>0.80133333299999998</v>
      </c>
      <c r="T2" s="19">
        <v>0.827333333</v>
      </c>
      <c r="U2" s="19">
        <v>0.83933333300000001</v>
      </c>
      <c r="V2" s="19">
        <v>0.822333333</v>
      </c>
      <c r="W2" s="19">
        <v>0.796666667</v>
      </c>
      <c r="X2" s="19">
        <v>0.75933333300000005</v>
      </c>
      <c r="Y2" s="19">
        <v>0.71133333300000001</v>
      </c>
      <c r="Z2" s="19">
        <v>0.65666666699999998</v>
      </c>
      <c r="AA2" s="19">
        <v>0.59033333300000002</v>
      </c>
      <c r="AB2" s="19">
        <v>0.53933333299999997</v>
      </c>
      <c r="AC2" s="20">
        <v>0.47633333300000003</v>
      </c>
      <c r="AD2" s="20">
        <v>0.42933333299999998</v>
      </c>
      <c r="AE2" s="20">
        <v>0.38166666700000001</v>
      </c>
      <c r="AF2" s="21">
        <v>0.33633333300000001</v>
      </c>
      <c r="AG2" s="22">
        <v>0.305666667</v>
      </c>
      <c r="AH2" s="22">
        <v>0.26866666700000003</v>
      </c>
      <c r="AI2" s="22">
        <v>0.236666667</v>
      </c>
      <c r="AJ2" s="22">
        <v>0.215</v>
      </c>
      <c r="AK2" s="22">
        <v>0.198333333</v>
      </c>
      <c r="AL2" s="22">
        <v>0.17699999999999999</v>
      </c>
      <c r="AM2" s="22">
        <v>0.15633333299999999</v>
      </c>
      <c r="AN2" s="23">
        <v>0.141666667</v>
      </c>
      <c r="AO2" s="23">
        <v>0.129</v>
      </c>
      <c r="AP2" s="23">
        <v>0.114333333</v>
      </c>
      <c r="AQ2" s="23">
        <v>0.106</v>
      </c>
      <c r="AR2" s="23">
        <v>9.6333332999999993E-2</v>
      </c>
      <c r="AS2" s="23">
        <v>8.9666667000000005E-2</v>
      </c>
      <c r="AT2" s="23">
        <v>8.2333332999999995E-2</v>
      </c>
      <c r="AU2" s="23">
        <v>7.3666667000000005E-2</v>
      </c>
      <c r="AV2" s="23">
        <v>6.7000000000000004E-2</v>
      </c>
      <c r="AW2" s="23">
        <v>6.2E-2</v>
      </c>
      <c r="AX2" s="23">
        <v>5.8000000000000003E-2</v>
      </c>
      <c r="AY2" s="23">
        <v>5.5333332999999998E-2</v>
      </c>
      <c r="AZ2" s="23">
        <v>5.2666667E-2</v>
      </c>
      <c r="BA2" s="23">
        <v>4.9000000000000002E-2</v>
      </c>
      <c r="BB2" s="23">
        <v>4.6666667000000002E-2</v>
      </c>
      <c r="BC2" s="23">
        <v>4.4666667E-2</v>
      </c>
      <c r="BD2" s="23">
        <v>4.0666666999999997E-2</v>
      </c>
      <c r="BE2" s="23">
        <v>3.9666667000000003E-2</v>
      </c>
      <c r="BF2" s="23">
        <v>3.8666667000000002E-2</v>
      </c>
      <c r="BG2" s="23">
        <v>3.7666667000000001E-2</v>
      </c>
      <c r="BH2" s="23">
        <v>3.6333333000000002E-2</v>
      </c>
      <c r="BI2" s="23">
        <v>3.4666666999999998E-2</v>
      </c>
      <c r="BJ2" s="23">
        <v>3.4000000000000002E-2</v>
      </c>
      <c r="BK2" s="23">
        <v>3.2333332999999999E-2</v>
      </c>
      <c r="BL2" s="23">
        <v>3.1333332999999998E-2</v>
      </c>
      <c r="BM2" s="23">
        <v>3.0333333000000001E-2</v>
      </c>
      <c r="BN2" s="23">
        <v>2.9000000000000001E-2</v>
      </c>
      <c r="BO2" s="23">
        <v>2.5666667000000001E-2</v>
      </c>
      <c r="BP2" s="23">
        <v>2.4333332999999999E-2</v>
      </c>
      <c r="BQ2" s="23">
        <v>2.4666667E-2</v>
      </c>
      <c r="BR2" s="23">
        <v>2.3666666999999999E-2</v>
      </c>
      <c r="BS2" s="23">
        <v>2.3666666999999999E-2</v>
      </c>
      <c r="BT2" s="23">
        <v>2.3E-2</v>
      </c>
      <c r="BU2" s="24">
        <v>2.2666667000000001E-2</v>
      </c>
    </row>
    <row r="3" spans="1:73" s="25" customFormat="1" x14ac:dyDescent="0.3">
      <c r="A3" s="26" t="s">
        <v>19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3.0000000000000001E-3</v>
      </c>
      <c r="I3" s="27">
        <v>3.7666667000000001E-2</v>
      </c>
      <c r="J3" s="27">
        <v>0.15633333299999999</v>
      </c>
      <c r="K3" s="27">
        <v>0.319333333</v>
      </c>
      <c r="L3" s="27">
        <v>0.48433333299999998</v>
      </c>
      <c r="M3" s="27">
        <v>0.61099999999999999</v>
      </c>
      <c r="N3" s="27">
        <v>0.70899999999999996</v>
      </c>
      <c r="O3" s="27">
        <v>0.77766666699999998</v>
      </c>
      <c r="P3" s="28">
        <v>0.83066666700000003</v>
      </c>
      <c r="Q3" s="29">
        <v>0.87066666699999995</v>
      </c>
      <c r="R3" s="30">
        <v>0.89366666699999997</v>
      </c>
      <c r="S3" s="30">
        <v>0.91600000000000004</v>
      </c>
      <c r="T3" s="30">
        <v>0.929666667</v>
      </c>
      <c r="U3" s="30">
        <v>0.93700000000000006</v>
      </c>
      <c r="V3" s="30">
        <v>0.93733333299999999</v>
      </c>
      <c r="W3" s="30">
        <v>0.929666667</v>
      </c>
      <c r="X3" s="30">
        <v>0.91166666699999999</v>
      </c>
      <c r="Y3" s="30">
        <v>0.87466666699999995</v>
      </c>
      <c r="Z3" s="30">
        <v>0.84233333300000002</v>
      </c>
      <c r="AA3" s="30">
        <v>0.79733333299999998</v>
      </c>
      <c r="AB3" s="30">
        <v>0.74833333300000004</v>
      </c>
      <c r="AC3" s="31">
        <v>0.69566666700000002</v>
      </c>
      <c r="AD3" s="31">
        <v>0.63566666699999996</v>
      </c>
      <c r="AE3" s="31">
        <v>0.58233333300000001</v>
      </c>
      <c r="AF3" s="32">
        <v>0.52700000000000002</v>
      </c>
      <c r="AG3" s="33">
        <v>0.47866666699999999</v>
      </c>
      <c r="AH3" s="33">
        <v>0.43533333299999999</v>
      </c>
      <c r="AI3" s="33">
        <v>0.38966666700000002</v>
      </c>
      <c r="AJ3" s="33">
        <v>0.34966666699999999</v>
      </c>
      <c r="AK3" s="33">
        <v>0.31866666700000001</v>
      </c>
      <c r="AL3" s="33">
        <v>0.28833333300000002</v>
      </c>
      <c r="AM3" s="33">
        <v>0.257333333</v>
      </c>
      <c r="AN3" s="25">
        <v>0.23400000000000001</v>
      </c>
      <c r="AO3" s="25">
        <v>0.21733333299999999</v>
      </c>
      <c r="AP3" s="25">
        <v>0.202333333</v>
      </c>
      <c r="AQ3" s="25">
        <v>0.177666667</v>
      </c>
      <c r="AR3" s="25">
        <v>0.16566666699999999</v>
      </c>
      <c r="AS3" s="25">
        <v>0.15033333300000001</v>
      </c>
      <c r="AT3" s="25">
        <v>0.137333333</v>
      </c>
      <c r="AU3" s="25">
        <v>0.124</v>
      </c>
      <c r="AV3" s="25">
        <v>0.11700000000000001</v>
      </c>
      <c r="AW3" s="25">
        <v>0.108</v>
      </c>
      <c r="AX3" s="25">
        <v>0.100333333</v>
      </c>
      <c r="AY3" s="25">
        <v>9.2999999999999999E-2</v>
      </c>
      <c r="AZ3" s="25">
        <v>8.5000000000000006E-2</v>
      </c>
      <c r="BA3" s="25">
        <v>7.9333333000000006E-2</v>
      </c>
      <c r="BB3" s="25">
        <v>7.2999999999999995E-2</v>
      </c>
      <c r="BC3" s="25">
        <v>6.7666667E-2</v>
      </c>
      <c r="BD3" s="25">
        <v>6.4333333000000006E-2</v>
      </c>
      <c r="BE3" s="25">
        <v>6.1333332999999997E-2</v>
      </c>
      <c r="BF3" s="25">
        <v>5.8333333000000001E-2</v>
      </c>
      <c r="BG3" s="25">
        <v>5.6666666999999997E-2</v>
      </c>
      <c r="BH3" s="25">
        <v>5.2999999999999999E-2</v>
      </c>
      <c r="BI3" s="25">
        <v>5.0666666999999999E-2</v>
      </c>
      <c r="BJ3" s="25">
        <v>4.6666667000000002E-2</v>
      </c>
      <c r="BK3" s="25">
        <v>4.4333333000000003E-2</v>
      </c>
      <c r="BL3" s="25">
        <v>4.2666666999999998E-2</v>
      </c>
      <c r="BM3" s="25">
        <v>4.1666666999999998E-2</v>
      </c>
      <c r="BN3" s="25">
        <v>0.04</v>
      </c>
      <c r="BO3" s="25">
        <v>3.8333332999999997E-2</v>
      </c>
      <c r="BP3" s="25">
        <v>3.7333333000000003E-2</v>
      </c>
      <c r="BQ3" s="25">
        <v>3.6999999999999998E-2</v>
      </c>
      <c r="BR3" s="25">
        <v>3.5666666999999999E-2</v>
      </c>
      <c r="BS3" s="25">
        <v>3.5000000000000003E-2</v>
      </c>
      <c r="BT3" s="25">
        <v>3.3333333E-2</v>
      </c>
      <c r="BU3" s="34">
        <v>3.2333332999999999E-2</v>
      </c>
    </row>
    <row r="4" spans="1:73" s="40" customFormat="1" x14ac:dyDescent="0.3">
      <c r="A4" s="35" t="s">
        <v>20</v>
      </c>
      <c r="B4" s="36">
        <v>0</v>
      </c>
      <c r="C4" s="36">
        <v>0</v>
      </c>
      <c r="D4" s="36">
        <v>0</v>
      </c>
      <c r="E4" s="36">
        <v>3.33333E-4</v>
      </c>
      <c r="F4" s="36">
        <v>6.6666700000000002E-4</v>
      </c>
      <c r="G4" s="36">
        <v>2.3333329999999999E-3</v>
      </c>
      <c r="H4" s="36">
        <v>6.0000000000000001E-3</v>
      </c>
      <c r="I4" s="36">
        <v>1.4E-2</v>
      </c>
      <c r="J4" s="36">
        <v>3.0333333000000001E-2</v>
      </c>
      <c r="K4" s="36">
        <v>5.9666667E-2</v>
      </c>
      <c r="L4" s="36">
        <v>0.116333333</v>
      </c>
      <c r="M4" s="36">
        <v>0.18099999999999999</v>
      </c>
      <c r="N4" s="36">
        <v>0.263333333</v>
      </c>
      <c r="O4" s="36">
        <v>0.34466666699999998</v>
      </c>
      <c r="P4" s="28">
        <v>0.42533333299999998</v>
      </c>
      <c r="Q4" s="29">
        <v>0.49933333299999999</v>
      </c>
      <c r="R4" s="29">
        <v>0.568333333</v>
      </c>
      <c r="S4" s="29">
        <v>0.62666666699999996</v>
      </c>
      <c r="T4" s="29">
        <v>0.67733333299999998</v>
      </c>
      <c r="U4" s="29">
        <v>0.71433333300000001</v>
      </c>
      <c r="V4" s="29">
        <v>0.75766666699999996</v>
      </c>
      <c r="W4" s="29">
        <v>0.79066666699999999</v>
      </c>
      <c r="X4" s="29">
        <v>0.81799999999999995</v>
      </c>
      <c r="Y4" s="29">
        <v>0.83466666700000003</v>
      </c>
      <c r="Z4" s="29">
        <v>0.85633333300000003</v>
      </c>
      <c r="AA4" s="29">
        <v>0.87533333300000005</v>
      </c>
      <c r="AB4" s="29">
        <v>0.89</v>
      </c>
      <c r="AC4" s="37">
        <v>0.90200000000000002</v>
      </c>
      <c r="AD4" s="37">
        <v>0.90833333299999997</v>
      </c>
      <c r="AE4" s="37">
        <v>0.91766666699999999</v>
      </c>
      <c r="AF4" s="38">
        <v>0.922666667</v>
      </c>
      <c r="AG4" s="39">
        <v>0.92900000000000005</v>
      </c>
      <c r="AH4" s="39">
        <v>0.93700000000000006</v>
      </c>
      <c r="AI4" s="39">
        <v>0.94199999999999995</v>
      </c>
      <c r="AJ4" s="39">
        <v>0.947333333</v>
      </c>
      <c r="AK4" s="39">
        <v>0.951333333</v>
      </c>
      <c r="AL4" s="39">
        <v>0.95433333300000001</v>
      </c>
      <c r="AM4" s="39">
        <v>0.95699999999999996</v>
      </c>
      <c r="AN4" s="40">
        <v>0.95833333300000001</v>
      </c>
      <c r="AO4" s="40">
        <v>0.95899999999999996</v>
      </c>
      <c r="AP4" s="40">
        <v>0.95666666700000003</v>
      </c>
      <c r="AQ4" s="40">
        <v>0.95733333300000001</v>
      </c>
      <c r="AR4" s="40">
        <v>0.95499999999999996</v>
      </c>
      <c r="AS4" s="40">
        <v>0.94966666700000002</v>
      </c>
      <c r="AT4" s="40">
        <v>0.94133333299999999</v>
      </c>
      <c r="AU4" s="40">
        <v>0.93700000000000006</v>
      </c>
      <c r="AV4" s="40">
        <v>0.92800000000000005</v>
      </c>
      <c r="AW4" s="40">
        <v>0.91866666699999999</v>
      </c>
      <c r="AX4" s="40">
        <v>0.91</v>
      </c>
      <c r="AY4" s="40">
        <v>0.89900000000000002</v>
      </c>
      <c r="AZ4" s="40">
        <v>0.88400000000000001</v>
      </c>
      <c r="BA4" s="40">
        <v>0.86833333300000004</v>
      </c>
      <c r="BB4" s="40">
        <v>0.85033333300000002</v>
      </c>
      <c r="BC4" s="40">
        <v>0.83499999999999996</v>
      </c>
      <c r="BD4" s="40">
        <v>0.82066666700000002</v>
      </c>
      <c r="BE4" s="40">
        <v>0.80633333299999999</v>
      </c>
      <c r="BF4" s="40">
        <v>0.78700000000000003</v>
      </c>
      <c r="BG4" s="40">
        <v>0.77100000000000002</v>
      </c>
      <c r="BH4" s="40">
        <v>0.75333333300000005</v>
      </c>
      <c r="BI4" s="40">
        <v>0.73799999999999999</v>
      </c>
      <c r="BJ4" s="40">
        <v>0.72199999999999998</v>
      </c>
      <c r="BK4" s="40">
        <v>0.70866666700000003</v>
      </c>
      <c r="BL4" s="40">
        <v>0.69133333299999999</v>
      </c>
      <c r="BM4" s="40">
        <v>0.67100000000000004</v>
      </c>
      <c r="BN4" s="40">
        <v>0.65433333299999996</v>
      </c>
      <c r="BO4" s="40">
        <v>0.63933333299999995</v>
      </c>
      <c r="BP4" s="40">
        <v>0.62</v>
      </c>
      <c r="BQ4" s="40">
        <v>0.60533333300000003</v>
      </c>
      <c r="BR4" s="40">
        <v>0.58833333300000001</v>
      </c>
      <c r="BS4" s="40">
        <v>0.572333333</v>
      </c>
      <c r="BT4" s="40">
        <v>0.55533333299999998</v>
      </c>
      <c r="BU4" s="41">
        <v>0.54233333299999997</v>
      </c>
    </row>
    <row r="5" spans="1:73" s="40" customFormat="1" x14ac:dyDescent="0.3">
      <c r="A5" s="35" t="s">
        <v>21</v>
      </c>
      <c r="B5" s="36">
        <v>0</v>
      </c>
      <c r="C5" s="36">
        <v>0</v>
      </c>
      <c r="D5" s="36">
        <v>0</v>
      </c>
      <c r="E5" s="36">
        <v>6.6666700000000002E-4</v>
      </c>
      <c r="F5" s="36">
        <v>1.3333329999999999E-3</v>
      </c>
      <c r="G5" s="36">
        <v>5.6666670000000002E-3</v>
      </c>
      <c r="H5" s="36">
        <v>1.4333333E-2</v>
      </c>
      <c r="I5" s="36">
        <v>3.9666667000000003E-2</v>
      </c>
      <c r="J5" s="36">
        <v>9.0666667000000006E-2</v>
      </c>
      <c r="K5" s="36">
        <v>0.16766666699999999</v>
      </c>
      <c r="L5" s="36">
        <v>0.26500000000000001</v>
      </c>
      <c r="M5" s="36">
        <v>0.36699999999999999</v>
      </c>
      <c r="N5" s="36">
        <v>0.46366666699999998</v>
      </c>
      <c r="O5" s="36">
        <v>0.54566666699999999</v>
      </c>
      <c r="P5" s="28">
        <v>0.62233333300000004</v>
      </c>
      <c r="Q5" s="29">
        <v>0.68366666700000001</v>
      </c>
      <c r="R5" s="29">
        <v>0.73233333300000003</v>
      </c>
      <c r="S5" s="29">
        <v>0.77566666699999998</v>
      </c>
      <c r="T5" s="29">
        <v>0.81200000000000006</v>
      </c>
      <c r="U5" s="29">
        <v>0.83566666700000003</v>
      </c>
      <c r="V5" s="29">
        <v>0.85899999999999999</v>
      </c>
      <c r="W5" s="29">
        <v>0.87966666699999996</v>
      </c>
      <c r="X5" s="29">
        <v>0.89600000000000002</v>
      </c>
      <c r="Y5" s="29">
        <v>0.90766666699999998</v>
      </c>
      <c r="Z5" s="29">
        <v>0.91733333299999997</v>
      </c>
      <c r="AA5" s="29">
        <v>0.92500000000000004</v>
      </c>
      <c r="AB5" s="29">
        <v>0.93200000000000005</v>
      </c>
      <c r="AC5" s="37">
        <v>0.94033333299999999</v>
      </c>
      <c r="AD5" s="37">
        <v>0.94666666700000002</v>
      </c>
      <c r="AE5" s="37">
        <v>0.95266666700000002</v>
      </c>
      <c r="AF5" s="38">
        <v>0.95833333300000001</v>
      </c>
      <c r="AG5" s="39">
        <v>0.96099999999999997</v>
      </c>
      <c r="AH5" s="39">
        <v>0.96466666700000003</v>
      </c>
      <c r="AI5" s="39">
        <v>0.96633333300000002</v>
      </c>
      <c r="AJ5" s="39">
        <v>0.96966666700000004</v>
      </c>
      <c r="AK5" s="39">
        <v>0.97233333300000002</v>
      </c>
      <c r="AL5" s="39">
        <v>0.97299999999999998</v>
      </c>
      <c r="AM5" s="39">
        <v>0.97433333300000002</v>
      </c>
      <c r="AN5" s="40">
        <v>0.97566666700000004</v>
      </c>
      <c r="AO5" s="40">
        <v>0.97633333300000003</v>
      </c>
      <c r="AP5" s="40">
        <v>0.97699999999999998</v>
      </c>
      <c r="AQ5" s="40">
        <v>0.97766666700000004</v>
      </c>
      <c r="AR5" s="40">
        <v>0.97699999999999998</v>
      </c>
      <c r="AS5" s="40">
        <v>0.97499999999999998</v>
      </c>
      <c r="AT5" s="40">
        <v>0.97333333300000002</v>
      </c>
      <c r="AU5" s="40">
        <v>0.97266666700000004</v>
      </c>
      <c r="AV5" s="40">
        <v>0.97</v>
      </c>
      <c r="AW5" s="40">
        <v>0.96499999999999997</v>
      </c>
      <c r="AX5" s="40">
        <v>0.96099999999999997</v>
      </c>
      <c r="AY5" s="40">
        <v>0.953333333</v>
      </c>
      <c r="AZ5" s="40">
        <v>0.94599999999999995</v>
      </c>
      <c r="BA5" s="40">
        <v>0.93966666700000001</v>
      </c>
      <c r="BB5" s="40">
        <v>0.931666667</v>
      </c>
      <c r="BC5" s="40">
        <v>0.921666667</v>
      </c>
      <c r="BD5" s="40">
        <v>0.91300000000000003</v>
      </c>
      <c r="BE5" s="40">
        <v>0.90266666699999998</v>
      </c>
      <c r="BF5" s="40">
        <v>0.88666666699999996</v>
      </c>
      <c r="BG5" s="40">
        <v>0.87433333300000005</v>
      </c>
      <c r="BH5" s="40">
        <v>0.85899999999999999</v>
      </c>
      <c r="BI5" s="40">
        <v>0.84466666700000004</v>
      </c>
      <c r="BJ5" s="40">
        <v>0.83099999999999996</v>
      </c>
      <c r="BK5" s="40">
        <v>0.81566666700000001</v>
      </c>
      <c r="BL5" s="40">
        <v>0.80033333299999998</v>
      </c>
      <c r="BM5" s="40">
        <v>0.78600000000000003</v>
      </c>
      <c r="BN5" s="40">
        <v>0.76800000000000002</v>
      </c>
      <c r="BO5" s="40">
        <v>0.75233333300000005</v>
      </c>
      <c r="BP5" s="40">
        <v>0.73899999999999999</v>
      </c>
      <c r="BQ5" s="40">
        <v>0.72966666700000005</v>
      </c>
      <c r="BR5" s="40">
        <v>0.71466666700000003</v>
      </c>
      <c r="BS5" s="40">
        <v>0.697333333</v>
      </c>
      <c r="BT5" s="40">
        <v>0.68200000000000005</v>
      </c>
      <c r="BU5" s="41">
        <v>0.66433333299999997</v>
      </c>
    </row>
    <row r="6" spans="1:73" s="40" customFormat="1" x14ac:dyDescent="0.3">
      <c r="A6" s="35" t="s">
        <v>22</v>
      </c>
      <c r="B6" s="36">
        <v>1</v>
      </c>
      <c r="C6" s="36">
        <v>1</v>
      </c>
      <c r="D6" s="36">
        <v>1</v>
      </c>
      <c r="E6" s="36">
        <v>1</v>
      </c>
      <c r="F6" s="36">
        <v>1</v>
      </c>
      <c r="G6" s="36">
        <v>1</v>
      </c>
      <c r="H6" s="36">
        <v>1</v>
      </c>
      <c r="I6" s="36">
        <v>0.99933333300000005</v>
      </c>
      <c r="J6" s="36">
        <v>0.995</v>
      </c>
      <c r="K6" s="36">
        <v>0.95</v>
      </c>
      <c r="L6" s="36">
        <v>0.85833333300000003</v>
      </c>
      <c r="M6" s="36">
        <v>0.73566666700000005</v>
      </c>
      <c r="N6" s="36">
        <v>0.59499999999999997</v>
      </c>
      <c r="O6" s="36">
        <v>0.47666666699999999</v>
      </c>
      <c r="P6" s="28">
        <v>0.380333333</v>
      </c>
      <c r="Q6" s="29">
        <v>0.301666667</v>
      </c>
      <c r="R6" s="29">
        <v>0.23799999999999999</v>
      </c>
      <c r="S6" s="29">
        <v>0.19500000000000001</v>
      </c>
      <c r="T6" s="29">
        <v>0.16</v>
      </c>
      <c r="U6" s="29">
        <v>0.127</v>
      </c>
      <c r="V6" s="29">
        <v>0.107333333</v>
      </c>
      <c r="W6" s="29">
        <v>0.09</v>
      </c>
      <c r="X6" s="29">
        <v>7.4666667000000006E-2</v>
      </c>
      <c r="Y6" s="29">
        <v>6.6000000000000003E-2</v>
      </c>
      <c r="Z6" s="29">
        <v>0.06</v>
      </c>
      <c r="AA6" s="29">
        <v>5.3999999999999999E-2</v>
      </c>
      <c r="AB6" s="29">
        <v>4.7333332999999998E-2</v>
      </c>
      <c r="AC6" s="37">
        <v>4.5333333000000003E-2</v>
      </c>
      <c r="AD6" s="37">
        <v>4.0666666999999997E-2</v>
      </c>
      <c r="AE6" s="37">
        <v>3.8666667000000002E-2</v>
      </c>
      <c r="AF6" s="38">
        <v>3.5666666999999999E-2</v>
      </c>
      <c r="AG6" s="39">
        <v>3.1333332999999998E-2</v>
      </c>
      <c r="AH6" s="39">
        <v>2.9666667000000001E-2</v>
      </c>
      <c r="AI6" s="39">
        <v>2.7E-2</v>
      </c>
      <c r="AJ6" s="39">
        <v>2.5333333E-2</v>
      </c>
      <c r="AK6" s="39">
        <v>2.4666667E-2</v>
      </c>
      <c r="AL6" s="39">
        <v>2.3333333000000001E-2</v>
      </c>
      <c r="AM6" s="39">
        <v>2.1999999999999999E-2</v>
      </c>
      <c r="AN6" s="40">
        <v>0.02</v>
      </c>
      <c r="AO6" s="40">
        <v>1.7999999999999999E-2</v>
      </c>
      <c r="AP6" s="40">
        <v>1.7000000000000001E-2</v>
      </c>
      <c r="AQ6" s="40">
        <v>1.6333332999999998E-2</v>
      </c>
      <c r="AR6" s="40">
        <v>1.5333332999999999E-2</v>
      </c>
      <c r="AS6" s="40">
        <v>1.4333333E-2</v>
      </c>
      <c r="AT6" s="40">
        <v>1.3666667E-2</v>
      </c>
      <c r="AU6" s="40">
        <v>1.3333332999999999E-2</v>
      </c>
      <c r="AV6" s="40">
        <v>1.2333333E-2</v>
      </c>
      <c r="AW6" s="40">
        <v>1.2E-2</v>
      </c>
      <c r="AX6" s="40">
        <v>1.1666667E-2</v>
      </c>
      <c r="AY6" s="40">
        <v>1.0333333E-2</v>
      </c>
      <c r="AZ6" s="40">
        <v>1.0333333E-2</v>
      </c>
      <c r="BA6" s="40">
        <v>1.0333333E-2</v>
      </c>
      <c r="BB6" s="40">
        <v>0.01</v>
      </c>
      <c r="BC6" s="40">
        <v>8.9999999999999993E-3</v>
      </c>
      <c r="BD6" s="40">
        <v>8.6666669999999994E-3</v>
      </c>
      <c r="BE6" s="40">
        <v>8.0000000000000002E-3</v>
      </c>
      <c r="BF6" s="40">
        <v>8.0000000000000002E-3</v>
      </c>
      <c r="BG6" s="40">
        <v>7.0000000000000001E-3</v>
      </c>
      <c r="BH6" s="40">
        <v>6.6666670000000003E-3</v>
      </c>
      <c r="BI6" s="40">
        <v>6.333333E-3</v>
      </c>
      <c r="BJ6" s="40">
        <v>6.333333E-3</v>
      </c>
      <c r="BK6" s="40">
        <v>6.333333E-3</v>
      </c>
      <c r="BL6" s="40">
        <v>6.333333E-3</v>
      </c>
      <c r="BM6" s="40">
        <v>6.0000000000000001E-3</v>
      </c>
      <c r="BN6" s="40">
        <v>6.0000000000000001E-3</v>
      </c>
      <c r="BO6" s="40">
        <v>6.0000000000000001E-3</v>
      </c>
      <c r="BP6" s="40">
        <v>6.0000000000000001E-3</v>
      </c>
      <c r="BQ6" s="40">
        <v>5.333333E-3</v>
      </c>
      <c r="BR6" s="40">
        <v>5.0000000000000001E-3</v>
      </c>
      <c r="BS6" s="40">
        <v>4.6666670000000002E-3</v>
      </c>
      <c r="BT6" s="40">
        <v>4.6666670000000002E-3</v>
      </c>
      <c r="BU6" s="41">
        <v>4.6666670000000002E-3</v>
      </c>
    </row>
    <row r="7" spans="1:73" s="40" customFormat="1" x14ac:dyDescent="0.3">
      <c r="A7" s="35" t="s">
        <v>23</v>
      </c>
      <c r="B7" s="36">
        <v>1</v>
      </c>
      <c r="C7" s="36">
        <v>1</v>
      </c>
      <c r="D7" s="36">
        <v>1</v>
      </c>
      <c r="E7" s="36">
        <v>1</v>
      </c>
      <c r="F7" s="36">
        <v>1</v>
      </c>
      <c r="G7" s="36">
        <v>1</v>
      </c>
      <c r="H7" s="36">
        <v>0.997</v>
      </c>
      <c r="I7" s="36">
        <v>0.96233333300000001</v>
      </c>
      <c r="J7" s="36">
        <v>0.84366666700000004</v>
      </c>
      <c r="K7" s="36">
        <v>0.680666667</v>
      </c>
      <c r="L7" s="36">
        <v>0.51566666699999997</v>
      </c>
      <c r="M7" s="36">
        <v>0.38900000000000001</v>
      </c>
      <c r="N7" s="36">
        <v>0.29099999999999998</v>
      </c>
      <c r="O7" s="36">
        <v>0.22233333299999999</v>
      </c>
      <c r="P7" s="28">
        <v>0.169333333</v>
      </c>
      <c r="Q7" s="29">
        <v>0.12933333299999999</v>
      </c>
      <c r="R7" s="29">
        <v>0.106</v>
      </c>
      <c r="S7" s="29">
        <v>8.3666667E-2</v>
      </c>
      <c r="T7" s="29">
        <v>6.8666667000000001E-2</v>
      </c>
      <c r="U7" s="29">
        <v>0.06</v>
      </c>
      <c r="V7" s="29">
        <v>5.2999999999999999E-2</v>
      </c>
      <c r="W7" s="29">
        <v>4.5666667000000001E-2</v>
      </c>
      <c r="X7" s="29">
        <v>4.2666666999999998E-2</v>
      </c>
      <c r="Y7" s="29">
        <v>3.8666667000000002E-2</v>
      </c>
      <c r="Z7" s="29">
        <v>3.5000000000000003E-2</v>
      </c>
      <c r="AA7" s="29">
        <v>2.9666667000000001E-2</v>
      </c>
      <c r="AB7" s="29">
        <v>2.8000000000000001E-2</v>
      </c>
      <c r="AC7" s="37">
        <v>2.5666667000000001E-2</v>
      </c>
      <c r="AD7" s="37">
        <v>2.4E-2</v>
      </c>
      <c r="AE7" s="37">
        <v>2.2666667000000001E-2</v>
      </c>
      <c r="AF7" s="38">
        <v>2.0666667E-2</v>
      </c>
      <c r="AG7" s="39">
        <v>1.7666667E-2</v>
      </c>
      <c r="AH7" s="39">
        <v>1.7000000000000001E-2</v>
      </c>
      <c r="AI7" s="39">
        <v>1.5666666999999999E-2</v>
      </c>
      <c r="AJ7" s="39">
        <v>1.4666667E-2</v>
      </c>
      <c r="AK7" s="39">
        <v>1.3666667E-2</v>
      </c>
      <c r="AL7" s="39">
        <v>1.2666667E-2</v>
      </c>
      <c r="AM7" s="39">
        <v>1.2E-2</v>
      </c>
      <c r="AN7" s="40">
        <v>1.1666667E-2</v>
      </c>
      <c r="AO7" s="40">
        <v>1.0333333E-2</v>
      </c>
      <c r="AP7" s="40">
        <v>1.0333333E-2</v>
      </c>
      <c r="AQ7" s="40">
        <v>1.0333333E-2</v>
      </c>
      <c r="AR7" s="40">
        <v>8.9999999999999993E-3</v>
      </c>
      <c r="AS7" s="40">
        <v>8.9999999999999993E-3</v>
      </c>
      <c r="AT7" s="40">
        <v>8.0000000000000002E-3</v>
      </c>
      <c r="AU7" s="40">
        <v>7.6666670000000003E-3</v>
      </c>
      <c r="AV7" s="40">
        <v>6.6666670000000003E-3</v>
      </c>
      <c r="AW7" s="40">
        <v>6.333333E-3</v>
      </c>
      <c r="AX7" s="40">
        <v>6.333333E-3</v>
      </c>
      <c r="AY7" s="40">
        <v>6.333333E-3</v>
      </c>
      <c r="AZ7" s="40">
        <v>6.0000000000000001E-3</v>
      </c>
      <c r="BA7" s="40">
        <v>6.0000000000000001E-3</v>
      </c>
      <c r="BB7" s="40">
        <v>6.0000000000000001E-3</v>
      </c>
      <c r="BC7" s="40">
        <v>5.333333E-3</v>
      </c>
      <c r="BD7" s="40">
        <v>5.0000000000000001E-3</v>
      </c>
      <c r="BE7" s="40">
        <v>4.6666670000000002E-3</v>
      </c>
      <c r="BF7" s="40">
        <v>4.6666670000000002E-3</v>
      </c>
      <c r="BG7" s="40">
        <v>4.6666670000000002E-3</v>
      </c>
      <c r="BH7" s="40">
        <v>4.6666670000000002E-3</v>
      </c>
      <c r="BI7" s="40">
        <v>4.6666670000000002E-3</v>
      </c>
      <c r="BJ7" s="40">
        <v>4.6666670000000002E-3</v>
      </c>
      <c r="BK7" s="40">
        <v>4.6666670000000002E-3</v>
      </c>
      <c r="BL7" s="40">
        <v>4.6666670000000002E-3</v>
      </c>
      <c r="BM7" s="40">
        <v>4.6666670000000002E-3</v>
      </c>
      <c r="BN7" s="40">
        <v>4.6666670000000002E-3</v>
      </c>
      <c r="BO7" s="40">
        <v>4.333333E-3</v>
      </c>
      <c r="BP7" s="40">
        <v>4.0000000000000001E-3</v>
      </c>
      <c r="BQ7" s="40">
        <v>3.6666670000000002E-3</v>
      </c>
      <c r="BR7" s="40">
        <v>3.6666670000000002E-3</v>
      </c>
      <c r="BS7" s="40">
        <v>3.6666670000000002E-3</v>
      </c>
      <c r="BT7" s="40">
        <v>3.6666670000000002E-3</v>
      </c>
      <c r="BU7" s="41">
        <v>3.6666670000000002E-3</v>
      </c>
    </row>
    <row r="8" spans="1:73" x14ac:dyDescent="0.3">
      <c r="A8" s="42" t="s">
        <v>24</v>
      </c>
      <c r="B8" s="43">
        <v>0</v>
      </c>
      <c r="C8" s="43">
        <v>23934.922910000001</v>
      </c>
      <c r="D8" s="43">
        <v>45796.468200000003</v>
      </c>
      <c r="E8" s="43">
        <v>66006.896630000003</v>
      </c>
      <c r="F8" s="43">
        <v>83891.141250000001</v>
      </c>
      <c r="G8" s="43">
        <v>100150.5723</v>
      </c>
      <c r="H8" s="43">
        <v>114737.8661</v>
      </c>
      <c r="I8" s="43">
        <v>128294.81849999999</v>
      </c>
      <c r="J8" s="43">
        <v>139261.46549999999</v>
      </c>
      <c r="K8" s="43">
        <v>149777.44330000001</v>
      </c>
      <c r="L8" s="43">
        <v>157797.22949999999</v>
      </c>
      <c r="M8" s="43">
        <v>165805.76519999999</v>
      </c>
      <c r="N8" s="43">
        <v>172719.29</v>
      </c>
      <c r="O8" s="43">
        <v>179708.64989999999</v>
      </c>
      <c r="P8" s="44">
        <v>185734.1036</v>
      </c>
      <c r="Q8" s="43">
        <v>190546.45300000001</v>
      </c>
      <c r="R8" s="43">
        <v>195100.2225</v>
      </c>
      <c r="S8" s="43">
        <v>198368.53750000001</v>
      </c>
      <c r="T8" s="43">
        <v>201528.5141</v>
      </c>
      <c r="U8" s="43">
        <v>204483.47889999999</v>
      </c>
      <c r="V8" s="43">
        <v>208439.16450000001</v>
      </c>
      <c r="W8" s="43">
        <v>209788.33309999999</v>
      </c>
      <c r="X8" s="43">
        <v>213058.03140000001</v>
      </c>
      <c r="Y8" s="43">
        <v>215663.75049999999</v>
      </c>
      <c r="Z8" s="43">
        <v>216475.70569999999</v>
      </c>
      <c r="AA8" s="43">
        <v>219362.20360000001</v>
      </c>
      <c r="AB8" s="43">
        <v>217897.40169999999</v>
      </c>
      <c r="AC8" s="45">
        <v>217174.9572</v>
      </c>
      <c r="AD8" s="45">
        <v>217136.64180000001</v>
      </c>
      <c r="AE8" s="45">
        <v>216442.84849999999</v>
      </c>
      <c r="AF8" s="46">
        <v>216266.3792</v>
      </c>
      <c r="AG8" s="45">
        <v>216980.1649</v>
      </c>
      <c r="AH8" s="45">
        <v>215325.35159999999</v>
      </c>
      <c r="AI8" s="45">
        <v>214866.34390000001</v>
      </c>
      <c r="AJ8" s="45">
        <v>214040.97570000001</v>
      </c>
      <c r="AK8" s="45">
        <v>214156.64199999999</v>
      </c>
      <c r="AL8" s="45">
        <v>211741.59299999999</v>
      </c>
      <c r="AM8" s="45">
        <v>211956.69409999999</v>
      </c>
      <c r="AN8">
        <v>210034.87</v>
      </c>
      <c r="AO8">
        <v>210679.3204</v>
      </c>
      <c r="AP8">
        <v>209924.53510000001</v>
      </c>
      <c r="AQ8">
        <v>207688.7879</v>
      </c>
      <c r="AR8">
        <v>205808.36139999999</v>
      </c>
      <c r="AS8">
        <v>203754.08050000001</v>
      </c>
      <c r="AT8">
        <v>204075.97469999999</v>
      </c>
      <c r="AU8">
        <v>199647.6263</v>
      </c>
      <c r="AV8">
        <v>200330.88209999999</v>
      </c>
      <c r="AW8">
        <v>196799.592</v>
      </c>
      <c r="AX8">
        <v>194330.0845</v>
      </c>
      <c r="AY8">
        <v>191274.4657</v>
      </c>
      <c r="AZ8">
        <v>189452.55780000001</v>
      </c>
      <c r="BA8">
        <v>188350.54250000001</v>
      </c>
      <c r="BB8">
        <v>185720.4314</v>
      </c>
      <c r="BC8">
        <v>184128.45019999999</v>
      </c>
      <c r="BD8">
        <v>178547.22589999999</v>
      </c>
      <c r="BE8">
        <v>173773.8854</v>
      </c>
      <c r="BF8">
        <v>170024.4088</v>
      </c>
      <c r="BG8">
        <v>166099.54060000001</v>
      </c>
      <c r="BH8">
        <v>160301.77110000001</v>
      </c>
      <c r="BI8">
        <v>155687.8535</v>
      </c>
      <c r="BJ8">
        <v>152711.26759999999</v>
      </c>
      <c r="BK8">
        <v>147401.08489999999</v>
      </c>
      <c r="BL8">
        <v>142660.83300000001</v>
      </c>
      <c r="BM8">
        <v>138810.2132</v>
      </c>
      <c r="BN8">
        <v>137067.07120000001</v>
      </c>
      <c r="BO8">
        <v>134345.77040000001</v>
      </c>
      <c r="BP8">
        <v>131458.1556</v>
      </c>
      <c r="BQ8">
        <v>124325.2939</v>
      </c>
      <c r="BR8">
        <v>122497.1051</v>
      </c>
      <c r="BS8">
        <v>117516.4316</v>
      </c>
      <c r="BT8">
        <v>111401.6741</v>
      </c>
      <c r="BU8" s="47">
        <v>107234.2058</v>
      </c>
    </row>
    <row r="9" spans="1:73" x14ac:dyDescent="0.3">
      <c r="A9" s="42" t="s">
        <v>25</v>
      </c>
      <c r="B9" s="43">
        <v>0</v>
      </c>
      <c r="C9" s="43">
        <v>20836.102180000002</v>
      </c>
      <c r="D9" s="43">
        <v>39791.738720000001</v>
      </c>
      <c r="E9" s="43">
        <v>57067.675080000001</v>
      </c>
      <c r="F9" s="43">
        <v>72376.604049999994</v>
      </c>
      <c r="G9" s="43">
        <v>86192.160950000005</v>
      </c>
      <c r="H9" s="43">
        <v>98646.889890000006</v>
      </c>
      <c r="I9" s="43">
        <v>109997.4565</v>
      </c>
      <c r="J9" s="43">
        <v>119518.2816</v>
      </c>
      <c r="K9" s="43">
        <v>129137.5934</v>
      </c>
      <c r="L9" s="43">
        <v>137228.8015</v>
      </c>
      <c r="M9" s="43">
        <v>144031.9565</v>
      </c>
      <c r="N9" s="43">
        <v>149699.60310000001</v>
      </c>
      <c r="O9" s="43">
        <v>154943.98730000001</v>
      </c>
      <c r="P9" s="44">
        <v>159469.91519999999</v>
      </c>
      <c r="Q9" s="43">
        <v>162950.71460000001</v>
      </c>
      <c r="R9" s="43">
        <v>166846.90400000001</v>
      </c>
      <c r="S9" s="43">
        <v>169548.39840000001</v>
      </c>
      <c r="T9" s="43">
        <v>172314.6317</v>
      </c>
      <c r="U9" s="43">
        <v>174256.87040000001</v>
      </c>
      <c r="V9" s="43">
        <v>175057.44889999999</v>
      </c>
      <c r="W9" s="43">
        <v>175987.0056</v>
      </c>
      <c r="X9" s="43">
        <v>176097.2617</v>
      </c>
      <c r="Y9" s="43">
        <v>176927.01879999999</v>
      </c>
      <c r="Z9" s="43">
        <v>177146.44579999999</v>
      </c>
      <c r="AA9" s="43">
        <v>176303.98550000001</v>
      </c>
      <c r="AB9" s="43">
        <v>177237.28769999999</v>
      </c>
      <c r="AC9" s="45">
        <v>176909.72560000001</v>
      </c>
      <c r="AD9" s="45">
        <v>176688.30249999999</v>
      </c>
      <c r="AE9" s="45">
        <v>176418.23740000001</v>
      </c>
      <c r="AF9" s="46">
        <v>177458.64850000001</v>
      </c>
      <c r="AG9" s="45">
        <v>175764.53659999999</v>
      </c>
      <c r="AH9" s="45">
        <v>174088.72289999999</v>
      </c>
      <c r="AI9" s="45">
        <v>172781.90040000001</v>
      </c>
      <c r="AJ9" s="45">
        <v>170053.51120000001</v>
      </c>
      <c r="AK9" s="45">
        <v>167128.98329999999</v>
      </c>
      <c r="AL9" s="45">
        <v>165077.77540000001</v>
      </c>
      <c r="AM9" s="45">
        <v>163342.4645</v>
      </c>
      <c r="AN9">
        <v>161258.2396</v>
      </c>
      <c r="AO9">
        <v>158744.07459999999</v>
      </c>
      <c r="AP9">
        <v>156783.62359999999</v>
      </c>
      <c r="AQ9">
        <v>154702.40599999999</v>
      </c>
      <c r="AR9">
        <v>152799.84909999999</v>
      </c>
      <c r="AS9">
        <v>148988.65609999999</v>
      </c>
      <c r="AT9">
        <v>146552.4227</v>
      </c>
      <c r="AU9">
        <v>144002.79440000001</v>
      </c>
      <c r="AV9">
        <v>139076.84229999999</v>
      </c>
      <c r="AW9">
        <v>136363.49410000001</v>
      </c>
      <c r="AX9">
        <v>133177.37580000001</v>
      </c>
      <c r="AY9">
        <v>129813.431</v>
      </c>
      <c r="AZ9">
        <v>125609.4056</v>
      </c>
      <c r="BA9">
        <v>122352.8556</v>
      </c>
      <c r="BB9">
        <v>117919.5589</v>
      </c>
      <c r="BC9">
        <v>113774.0034</v>
      </c>
      <c r="BD9">
        <v>110283.5493</v>
      </c>
      <c r="BE9">
        <v>107007.1235</v>
      </c>
      <c r="BF9">
        <v>102793.4865</v>
      </c>
      <c r="BG9">
        <v>98743.96514</v>
      </c>
      <c r="BH9">
        <v>92918.779980000007</v>
      </c>
      <c r="BI9">
        <v>88361.241869999998</v>
      </c>
      <c r="BJ9">
        <v>82528.315570000006</v>
      </c>
      <c r="BK9">
        <v>77829.65079</v>
      </c>
      <c r="BL9">
        <v>72598.617759999994</v>
      </c>
      <c r="BM9">
        <v>66909.447100000005</v>
      </c>
      <c r="BN9">
        <v>62945.591280000001</v>
      </c>
      <c r="BO9">
        <v>58702.185899999997</v>
      </c>
      <c r="BP9">
        <v>54466.1057</v>
      </c>
      <c r="BQ9">
        <v>49029.978750000002</v>
      </c>
      <c r="BR9">
        <v>44720.965770000003</v>
      </c>
      <c r="BS9">
        <v>39380.661070000002</v>
      </c>
      <c r="BT9">
        <v>32563.472809999999</v>
      </c>
      <c r="BU9" s="47">
        <v>27002.581139999998</v>
      </c>
    </row>
    <row r="10" spans="1:73" s="56" customFormat="1" x14ac:dyDescent="0.3">
      <c r="A10" s="48" t="s">
        <v>2</v>
      </c>
      <c r="B10" s="49">
        <v>0</v>
      </c>
      <c r="C10" s="49">
        <v>12871.500379999999</v>
      </c>
      <c r="D10" s="49">
        <v>24824.56064</v>
      </c>
      <c r="E10" s="49">
        <v>35806.785779999998</v>
      </c>
      <c r="F10" s="49">
        <v>45906.683539999998</v>
      </c>
      <c r="G10" s="49">
        <v>55138.290390000002</v>
      </c>
      <c r="H10" s="49">
        <v>63585.82475</v>
      </c>
      <c r="I10" s="49">
        <v>71294.991410000002</v>
      </c>
      <c r="J10" s="49">
        <v>78143.471550000002</v>
      </c>
      <c r="K10" s="49">
        <v>84217.48474</v>
      </c>
      <c r="L10" s="49">
        <v>89721.548769999994</v>
      </c>
      <c r="M10" s="49">
        <v>94792.972760000004</v>
      </c>
      <c r="N10" s="49">
        <v>98924.856899999999</v>
      </c>
      <c r="O10" s="49">
        <v>102389.6422</v>
      </c>
      <c r="P10" s="50">
        <v>105511.15270000001</v>
      </c>
      <c r="Q10" s="49">
        <v>108069.5134</v>
      </c>
      <c r="R10" s="49">
        <v>109734.1629</v>
      </c>
      <c r="S10" s="49">
        <v>111063.6681</v>
      </c>
      <c r="T10" s="49">
        <v>112044.6663</v>
      </c>
      <c r="U10" s="49">
        <v>112521.8431</v>
      </c>
      <c r="V10" s="51">
        <v>112127.599</v>
      </c>
      <c r="W10" s="49">
        <v>111953.4155</v>
      </c>
      <c r="X10" s="49">
        <v>110914.6505</v>
      </c>
      <c r="Y10" s="49">
        <v>109573.32799999999</v>
      </c>
      <c r="Z10" s="49">
        <v>107927.8379</v>
      </c>
      <c r="AA10" s="49">
        <v>106225.59600000001</v>
      </c>
      <c r="AB10" s="49">
        <v>103616.4743</v>
      </c>
      <c r="AC10" s="52">
        <v>101342.4953</v>
      </c>
      <c r="AD10" s="53">
        <v>99006.843890000004</v>
      </c>
      <c r="AE10" s="52">
        <v>95734.042029999997</v>
      </c>
      <c r="AF10" s="54">
        <v>92571.297019999998</v>
      </c>
      <c r="AG10" s="52">
        <v>89243.351490000001</v>
      </c>
      <c r="AH10" s="52">
        <v>85918.481109999993</v>
      </c>
      <c r="AI10" s="52">
        <v>81769.617480000001</v>
      </c>
      <c r="AJ10" s="52">
        <v>77250.614830000006</v>
      </c>
      <c r="AK10" s="55">
        <v>73362.928350000002</v>
      </c>
      <c r="AL10" s="55">
        <v>68789.693069999994</v>
      </c>
      <c r="AM10" s="55">
        <v>64067.45463</v>
      </c>
      <c r="AN10" s="56">
        <v>58940.794300000001</v>
      </c>
      <c r="AO10" s="56">
        <v>53594.389629999998</v>
      </c>
      <c r="AP10" s="56">
        <v>47962.738689999998</v>
      </c>
      <c r="AQ10" s="56">
        <v>42295.144220000002</v>
      </c>
      <c r="AR10" s="56">
        <v>36810.501960000001</v>
      </c>
      <c r="AS10" s="56">
        <v>31374.86737</v>
      </c>
      <c r="AT10" s="56">
        <v>25578.472890000001</v>
      </c>
      <c r="AU10" s="56">
        <v>19481.134880000001</v>
      </c>
      <c r="AV10" s="56">
        <v>13347.03088</v>
      </c>
      <c r="AW10" s="56">
        <v>7128.1044460000003</v>
      </c>
      <c r="AX10" s="56">
        <v>759.15556590000006</v>
      </c>
      <c r="AY10" s="56">
        <v>-5350.4487099999997</v>
      </c>
      <c r="AZ10" s="56">
        <v>-11694.012860000001</v>
      </c>
      <c r="BA10" s="56">
        <v>-18300.670480000001</v>
      </c>
      <c r="BB10" s="56">
        <v>-24924.368859999999</v>
      </c>
      <c r="BC10" s="56">
        <v>-31937.248309999999</v>
      </c>
      <c r="BD10" s="56">
        <v>-39138.442479999998</v>
      </c>
      <c r="BE10" s="56">
        <v>-45922.742680000003</v>
      </c>
      <c r="BF10" s="56">
        <v>-52837.455690000003</v>
      </c>
      <c r="BG10" s="56">
        <v>-59930.32864</v>
      </c>
      <c r="BH10" s="56">
        <v>-67394.228990000003</v>
      </c>
      <c r="BI10" s="56">
        <v>-74508.363960000002</v>
      </c>
      <c r="BJ10" s="56">
        <v>-81431.717520000006</v>
      </c>
      <c r="BK10" s="56">
        <v>-88827.889320000002</v>
      </c>
      <c r="BL10" s="56">
        <v>-96412.485230000006</v>
      </c>
      <c r="BM10" s="56">
        <v>-104020.395</v>
      </c>
      <c r="BN10" s="56">
        <v>-111118.573</v>
      </c>
      <c r="BO10" s="56">
        <v>-118332.1682</v>
      </c>
      <c r="BP10" s="56">
        <v>-125565.9323</v>
      </c>
      <c r="BQ10" s="56">
        <v>-132973.2107</v>
      </c>
      <c r="BR10" s="56">
        <v>-140315.83410000001</v>
      </c>
      <c r="BS10" s="56">
        <v>-148141.28820000001</v>
      </c>
      <c r="BT10" s="56">
        <v>-155589.04329999999</v>
      </c>
      <c r="BU10" s="57">
        <v>-163000.32629999999</v>
      </c>
    </row>
    <row r="11" spans="1:73" x14ac:dyDescent="0.3">
      <c r="A11" s="42" t="s">
        <v>26</v>
      </c>
      <c r="B11" s="43">
        <v>0</v>
      </c>
      <c r="C11" s="43">
        <v>8015.0829180000001</v>
      </c>
      <c r="D11" s="43">
        <v>15584.46853</v>
      </c>
      <c r="E11" s="43">
        <v>22671.357599999999</v>
      </c>
      <c r="F11" s="43">
        <v>29233.440409999999</v>
      </c>
      <c r="G11" s="43">
        <v>35287.88392</v>
      </c>
      <c r="H11" s="43">
        <v>40868.912199999999</v>
      </c>
      <c r="I11" s="43">
        <v>46080.938569999998</v>
      </c>
      <c r="J11" s="43">
        <v>50924.471680000002</v>
      </c>
      <c r="K11" s="43">
        <v>55455.571199999998</v>
      </c>
      <c r="L11" s="43">
        <v>59255.50404</v>
      </c>
      <c r="M11" s="43">
        <v>62909.696980000001</v>
      </c>
      <c r="N11" s="43">
        <v>65825.538289999997</v>
      </c>
      <c r="O11" s="43">
        <v>68529.280350000001</v>
      </c>
      <c r="P11" s="44">
        <v>70557.923209999994</v>
      </c>
      <c r="Q11" s="43">
        <v>72408.567330000005</v>
      </c>
      <c r="R11" s="43">
        <v>73603.189960000003</v>
      </c>
      <c r="S11" s="43">
        <v>74236.224489999993</v>
      </c>
      <c r="T11" s="43">
        <v>74440.050570000007</v>
      </c>
      <c r="U11" s="43">
        <v>74483.328389999995</v>
      </c>
      <c r="V11" s="43">
        <v>73548.886440000002</v>
      </c>
      <c r="W11" s="43">
        <v>71865.090590000007</v>
      </c>
      <c r="X11" s="43">
        <v>70974.603199999998</v>
      </c>
      <c r="Y11" s="43">
        <v>68833.738259999998</v>
      </c>
      <c r="Z11" s="43">
        <v>66044.65393</v>
      </c>
      <c r="AA11" s="43">
        <v>62921.445079999998</v>
      </c>
      <c r="AB11" s="43">
        <v>58848.226580000002</v>
      </c>
      <c r="AC11" s="45">
        <v>54910.174460000002</v>
      </c>
      <c r="AD11" s="45">
        <v>50767.408109999997</v>
      </c>
      <c r="AE11" s="45">
        <v>45709.975400000003</v>
      </c>
      <c r="AF11" s="46">
        <v>40795.846420000002</v>
      </c>
      <c r="AG11" s="45">
        <v>35141.5524</v>
      </c>
      <c r="AH11" s="45">
        <v>28969.561000000002</v>
      </c>
      <c r="AI11" s="45">
        <v>23657.314890000001</v>
      </c>
      <c r="AJ11" s="45">
        <v>17689.74048</v>
      </c>
      <c r="AK11" s="45">
        <v>11252.51233</v>
      </c>
      <c r="AL11" s="45">
        <v>4560.4805470000001</v>
      </c>
      <c r="AM11" s="45">
        <v>-2290.3227999999999</v>
      </c>
      <c r="AN11">
        <v>-9197.7385570000006</v>
      </c>
      <c r="AO11">
        <v>-16375.700800000001</v>
      </c>
      <c r="AP11">
        <v>-23336.546920000001</v>
      </c>
      <c r="AQ11">
        <v>-30263.42066</v>
      </c>
      <c r="AR11">
        <v>-37170.669459999997</v>
      </c>
      <c r="AS11">
        <v>-44567.573510000002</v>
      </c>
      <c r="AT11">
        <v>-51840.906349999997</v>
      </c>
      <c r="AU11">
        <v>-58810.256229999999</v>
      </c>
      <c r="AV11">
        <v>-66359.103860000003</v>
      </c>
      <c r="AW11">
        <v>-73682.582869999998</v>
      </c>
      <c r="AX11">
        <v>-81159.768920000002</v>
      </c>
      <c r="AY11">
        <v>-89157.146210000006</v>
      </c>
      <c r="AZ11">
        <v>-96738.946150000003</v>
      </c>
      <c r="BA11">
        <v>-104576.2965</v>
      </c>
      <c r="BB11">
        <v>-112317.9883</v>
      </c>
      <c r="BC11">
        <v>-120144.1167</v>
      </c>
      <c r="BD11">
        <v>-127914.98450000001</v>
      </c>
      <c r="BE11">
        <v>-135848.89689999999</v>
      </c>
      <c r="BF11">
        <v>-143948.51790000001</v>
      </c>
      <c r="BG11">
        <v>-151861.99840000001</v>
      </c>
      <c r="BH11">
        <v>-159665.89799999999</v>
      </c>
      <c r="BI11">
        <v>-167163.21249999999</v>
      </c>
      <c r="BJ11">
        <v>-174638.7132</v>
      </c>
      <c r="BK11">
        <v>-182360.3083</v>
      </c>
      <c r="BL11">
        <v>-189832.01949999999</v>
      </c>
      <c r="BM11">
        <v>-197637.8621</v>
      </c>
      <c r="BN11">
        <v>-205153.696</v>
      </c>
      <c r="BO11">
        <v>-212818.51699999999</v>
      </c>
      <c r="BP11">
        <v>-220218.4884</v>
      </c>
      <c r="BQ11">
        <v>-227989.51070000001</v>
      </c>
      <c r="BR11">
        <v>-235693.50539999999</v>
      </c>
      <c r="BS11">
        <v>-243022.71859999999</v>
      </c>
      <c r="BT11">
        <v>-250398.61350000001</v>
      </c>
      <c r="BU11" s="47">
        <v>-257685.99600000001</v>
      </c>
    </row>
    <row r="12" spans="1:73" x14ac:dyDescent="0.3">
      <c r="A12" s="42" t="s">
        <v>27</v>
      </c>
      <c r="B12" s="43">
        <v>0</v>
      </c>
      <c r="C12" s="43">
        <v>6935.9747079999997</v>
      </c>
      <c r="D12" s="43">
        <v>13505.30373</v>
      </c>
      <c r="E12" s="43">
        <v>19646.72294</v>
      </c>
      <c r="F12" s="43">
        <v>25523.492460000001</v>
      </c>
      <c r="G12" s="43">
        <v>31128.150880000001</v>
      </c>
      <c r="H12" s="43">
        <v>36243.124589999999</v>
      </c>
      <c r="I12" s="43">
        <v>41069.67727</v>
      </c>
      <c r="J12" s="43">
        <v>45364.524120000002</v>
      </c>
      <c r="K12" s="43">
        <v>48944.65537</v>
      </c>
      <c r="L12" s="43">
        <v>52343.146130000001</v>
      </c>
      <c r="M12" s="43">
        <v>55518.407160000002</v>
      </c>
      <c r="N12" s="43">
        <v>57932.226549999999</v>
      </c>
      <c r="O12" s="43">
        <v>60175.926460000002</v>
      </c>
      <c r="P12" s="44">
        <v>62195.14155</v>
      </c>
      <c r="Q12" s="43">
        <v>63141.862609999996</v>
      </c>
      <c r="R12" s="43">
        <v>63954.53471</v>
      </c>
      <c r="S12" s="43">
        <v>64512.717369999998</v>
      </c>
      <c r="T12" s="43">
        <v>64397.546479999997</v>
      </c>
      <c r="U12" s="43">
        <v>63394.421730000002</v>
      </c>
      <c r="V12" s="43">
        <v>62090.651380000003</v>
      </c>
      <c r="W12" s="43">
        <v>61061.647210000003</v>
      </c>
      <c r="X12" s="43">
        <v>58526.625930000002</v>
      </c>
      <c r="Y12" s="43">
        <v>56158.519809999998</v>
      </c>
      <c r="Z12" s="43">
        <v>53303.273359999999</v>
      </c>
      <c r="AA12" s="43">
        <v>50534.480280000003</v>
      </c>
      <c r="AB12" s="43">
        <v>46479.466050000003</v>
      </c>
      <c r="AC12" s="45">
        <v>42086.508959999999</v>
      </c>
      <c r="AD12" s="45">
        <v>37652.532630000002</v>
      </c>
      <c r="AE12" s="45">
        <v>33068.149519999999</v>
      </c>
      <c r="AF12" s="46">
        <v>28015.17366</v>
      </c>
      <c r="AG12" s="45">
        <v>23554.76899</v>
      </c>
      <c r="AH12" s="45">
        <v>17316.400020000001</v>
      </c>
      <c r="AI12" s="45">
        <v>11099.64525</v>
      </c>
      <c r="AJ12" s="45">
        <v>4617.271643</v>
      </c>
      <c r="AK12" s="45">
        <v>-2069.9261200000001</v>
      </c>
      <c r="AL12" s="45">
        <v>-9345.205543</v>
      </c>
      <c r="AM12" s="45">
        <v>-16250.428680000001</v>
      </c>
      <c r="AN12">
        <v>-22958.244490000001</v>
      </c>
      <c r="AO12">
        <v>-29898.011200000001</v>
      </c>
      <c r="AP12">
        <v>-37335.073299999996</v>
      </c>
      <c r="AQ12">
        <v>-45177.969369999999</v>
      </c>
      <c r="AR12">
        <v>-52668.870280000003</v>
      </c>
      <c r="AS12">
        <v>-60652.523159999997</v>
      </c>
      <c r="AT12">
        <v>-68188.686279999994</v>
      </c>
      <c r="AU12">
        <v>-75435.420929999993</v>
      </c>
      <c r="AV12">
        <v>-83218.459889999998</v>
      </c>
      <c r="AW12">
        <v>-91209.393200000006</v>
      </c>
      <c r="AX12">
        <v>-99065.236770000003</v>
      </c>
      <c r="AY12">
        <v>-107200.5487</v>
      </c>
      <c r="AZ12">
        <v>-115215.5981</v>
      </c>
      <c r="BA12">
        <v>-123254.66680000001</v>
      </c>
      <c r="BB12">
        <v>-130933.31170000001</v>
      </c>
      <c r="BC12">
        <v>-138648.41039999999</v>
      </c>
      <c r="BD12">
        <v>-146810.6047</v>
      </c>
      <c r="BE12">
        <v>-154699.32209999999</v>
      </c>
      <c r="BF12">
        <v>-162623.609</v>
      </c>
      <c r="BG12">
        <v>-170433.0711</v>
      </c>
      <c r="BH12">
        <v>-178319.402</v>
      </c>
      <c r="BI12">
        <v>-186102.31580000001</v>
      </c>
      <c r="BJ12">
        <v>-193638.3137</v>
      </c>
      <c r="BK12">
        <v>-201376.70730000001</v>
      </c>
      <c r="BL12">
        <v>-208923.5197</v>
      </c>
      <c r="BM12">
        <v>-216412.53200000001</v>
      </c>
      <c r="BN12">
        <v>-223886.18599999999</v>
      </c>
      <c r="BO12">
        <v>-231920.11569999999</v>
      </c>
      <c r="BP12">
        <v>-239410.71919999999</v>
      </c>
      <c r="BQ12">
        <v>-246901.95019999999</v>
      </c>
      <c r="BR12">
        <v>-254201.19519999999</v>
      </c>
      <c r="BS12">
        <v>-261657.0392</v>
      </c>
      <c r="BT12">
        <v>-268960.4019</v>
      </c>
      <c r="BU12" s="47">
        <v>-276131.55160000001</v>
      </c>
    </row>
    <row r="13" spans="1:73" ht="15" thickBot="1" x14ac:dyDescent="0.35">
      <c r="A13" s="58" t="s">
        <v>28</v>
      </c>
      <c r="B13" s="59">
        <v>0</v>
      </c>
      <c r="C13" s="59">
        <v>5000</v>
      </c>
      <c r="D13" s="59">
        <v>10000</v>
      </c>
      <c r="E13" s="59">
        <v>15000</v>
      </c>
      <c r="F13" s="59">
        <v>20000</v>
      </c>
      <c r="G13" s="59">
        <v>25000</v>
      </c>
      <c r="H13" s="59">
        <v>30000</v>
      </c>
      <c r="I13" s="59">
        <v>35000</v>
      </c>
      <c r="J13" s="59">
        <v>40000</v>
      </c>
      <c r="K13" s="59">
        <v>45000</v>
      </c>
      <c r="L13" s="59">
        <v>50000</v>
      </c>
      <c r="M13" s="59">
        <v>55000</v>
      </c>
      <c r="N13" s="59">
        <v>60000</v>
      </c>
      <c r="O13" s="59">
        <v>65000</v>
      </c>
      <c r="P13" s="60">
        <v>70000</v>
      </c>
      <c r="Q13" s="59">
        <v>75000</v>
      </c>
      <c r="R13" s="59">
        <v>80000</v>
      </c>
      <c r="S13" s="59">
        <v>85000</v>
      </c>
      <c r="T13" s="59">
        <v>90000</v>
      </c>
      <c r="U13" s="59">
        <v>95000</v>
      </c>
      <c r="V13" s="59">
        <v>100000</v>
      </c>
      <c r="W13" s="59">
        <v>105000</v>
      </c>
      <c r="X13" s="59">
        <v>110000</v>
      </c>
      <c r="Y13" s="59">
        <v>115000</v>
      </c>
      <c r="Z13" s="59">
        <v>120000</v>
      </c>
      <c r="AA13" s="59">
        <v>125000</v>
      </c>
      <c r="AB13" s="59">
        <v>130000</v>
      </c>
      <c r="AC13" s="59">
        <v>135000</v>
      </c>
      <c r="AD13" s="59">
        <v>140000</v>
      </c>
      <c r="AE13" s="59">
        <v>145000</v>
      </c>
      <c r="AF13" s="61">
        <v>150000</v>
      </c>
      <c r="AG13" s="59">
        <v>155000</v>
      </c>
      <c r="AH13" s="59">
        <v>160000</v>
      </c>
      <c r="AI13" s="59">
        <v>165000</v>
      </c>
      <c r="AJ13" s="59">
        <v>170000</v>
      </c>
      <c r="AK13" s="59">
        <v>175000</v>
      </c>
      <c r="AL13" s="59">
        <v>180000</v>
      </c>
      <c r="AM13" s="59">
        <v>185000</v>
      </c>
      <c r="AN13" s="59">
        <v>190000</v>
      </c>
      <c r="AO13" s="59">
        <v>195000</v>
      </c>
      <c r="AP13" s="59">
        <v>200000</v>
      </c>
      <c r="AQ13" s="59">
        <v>205000</v>
      </c>
      <c r="AR13" s="59">
        <v>210000</v>
      </c>
      <c r="AS13" s="59">
        <v>215000</v>
      </c>
      <c r="AT13" s="59">
        <v>220000</v>
      </c>
      <c r="AU13" s="59">
        <v>225000</v>
      </c>
      <c r="AV13" s="59">
        <v>230000</v>
      </c>
      <c r="AW13" s="59">
        <v>235000</v>
      </c>
      <c r="AX13" s="59">
        <v>240000</v>
      </c>
      <c r="AY13" s="59">
        <v>245000</v>
      </c>
      <c r="AZ13" s="59">
        <v>250000</v>
      </c>
      <c r="BA13" s="59">
        <v>255000</v>
      </c>
      <c r="BB13" s="59">
        <v>260000</v>
      </c>
      <c r="BC13" s="59">
        <v>265000</v>
      </c>
      <c r="BD13" s="59">
        <v>270000</v>
      </c>
      <c r="BE13" s="59">
        <v>275000</v>
      </c>
      <c r="BF13" s="59">
        <v>280000</v>
      </c>
      <c r="BG13" s="59">
        <v>285000</v>
      </c>
      <c r="BH13" s="59">
        <v>290000</v>
      </c>
      <c r="BI13" s="59">
        <v>295000</v>
      </c>
      <c r="BJ13" s="59">
        <v>300000</v>
      </c>
      <c r="BK13" s="59">
        <v>305000</v>
      </c>
      <c r="BL13" s="59">
        <v>310000</v>
      </c>
      <c r="BM13" s="59">
        <v>315000</v>
      </c>
      <c r="BN13" s="59">
        <v>320000</v>
      </c>
      <c r="BO13" s="59">
        <v>325000</v>
      </c>
      <c r="BP13" s="59">
        <v>330000</v>
      </c>
      <c r="BQ13" s="59">
        <v>335000</v>
      </c>
      <c r="BR13" s="59">
        <v>340000</v>
      </c>
      <c r="BS13" s="59">
        <v>345000</v>
      </c>
      <c r="BT13" s="59">
        <v>350000</v>
      </c>
      <c r="BU13" s="62">
        <v>355000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2026-04-13T21:10:18Z</dcterms:modified>
</cp:coreProperties>
</file>