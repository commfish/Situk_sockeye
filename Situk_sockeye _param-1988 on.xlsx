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8CEE8FAC-FC77-4E2D-ADE7-552772FA3002}" xr6:coauthVersionLast="47" xr6:coauthVersionMax="47" xr10:uidLastSave="{00000000-0000-0000-0000-000000000000}"/>
  <bookViews>
    <workbookView xWindow="-108" yWindow="-108" windowWidth="23256" windowHeight="12456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" l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<sst xmlns="http://schemas.openxmlformats.org/spreadsheetml/2006/main" count="382" uniqueCount="139">
  <si>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</si>
  <si>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</si>
  <si>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</si>
  <si>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</si>
  <si>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</si>
  <si>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</si>
  <si>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</si>
  <si>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</si>
  <si>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</si>
  <si>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</si>
  <si>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</si>
  <si>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</si>
  <si>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</si>
  <si>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</si>
  <si>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</si>
  <si>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</si>
  <si>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</si>
  <si>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</si>
  <si>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</si>
  <si>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</si>
  <si>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</si>
  <si>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</si>
  <si>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</si>
  <si>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</si>
  <si>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</si>
  <si>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</si>
  <si>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</si>
  <si>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</si>
  <si>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</si>
  <si>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</si>
  <si>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</si>
  <si>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</si>
  <si>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</si>
  <si>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</si>
  <si>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</si>
  <si>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</si>
  <si>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</si>
  <si>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</si>
  <si>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</si>
  <si>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</si>
  <si>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</si>
  <si>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</si>
  <si>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</si>
  <si>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</si>
  <si>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</si>
  <si>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</si>
  <si>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</si>
  <si>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</si>
  <si>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</si>
  <si>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</si>
  <si>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</si>
  <si>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</si>
  <si>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</si>
  <si>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</si>
  <si>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</si>
  <si>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</si>
  <si>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</si>
  <si>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</si>
  <si>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</si>
  <si>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</si>
  <si>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</si>
  <si>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</si>
  <si>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</si>
  <si>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</si>
  <si>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</si>
  <si>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</si>
  <si>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</si>
  <si>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</si>
  <si>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</si>
  <si>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</si>
  <si>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</si>
  <si>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</si>
  <si>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</si>
  <si>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</si>
  <si>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</si>
  <si>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</si>
  <si>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</si>
  <si>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</si>
  <si>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</si>
  <si>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</si>
  <si>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</si>
  <si>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</si>
  <si>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</si>
  <si>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</si>
  <si>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</si>
  <si>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</si>
  <si>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</si>
  <si>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</si>
  <si>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</si>
  <si>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</si>
  <si>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</si>
  <si>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</si>
  <si>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</si>
  <si>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</si>
  <si>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</si>
  <si>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</si>
  <si>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</si>
  <si>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</si>
  <si>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</si>
  <si>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</si>
  <si>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</si>
  <si>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</si>
  <si>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</si>
  <si>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</si>
  <si>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</si>
  <si>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</si>
  <si>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</si>
  <si>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</si>
  <si>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</si>
  <si>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</si>
  <si>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</si>
  <si>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</si>
  <si>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</si>
  <si>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</si>
  <si>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</si>
  <si>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</si>
  <si>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</si>
  <si>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</si>
  <si>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</si>
  <si>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</si>
  <si>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</si>
  <si>
    <t xml:space="preserve">Mean deviance:  755.2 </t>
  </si>
  <si>
    <t xml:space="preserve">penalty 3.249 </t>
  </si>
  <si>
    <t>Penalized deviance: 758.4</t>
  </si>
  <si>
    <t>ACF = -0.215566087</t>
  </si>
  <si>
    <t>Mean deviance:  754.7</t>
  </si>
  <si>
    <t>penalty 4.666</t>
  </si>
  <si>
    <t>Penalized deviance: 759.4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</si>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</sst>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27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2" fontId="0" fillId="0" borderId="3" xfId="0" applyNumberFormat="1" applyBorder="1"/>
    <xf numFmtId="0" fontId="0" fillId="0" borderId="4" xfId="0" applyBorder="1"/>
    <xf numFmtId="0" fontId="0" fillId="0" borderId="12" xfId="0" applyBorder="1"/>
    <xf numFmtId="2" fontId="0" fillId="10" borderId="3" xfId="0" applyNumberFormat="1" applyFill="1" applyBorder="1"/>
    <xf numFmtId="0" fontId="0" fillId="10" borderId="4" xfId="0" applyFill="1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10" borderId="0" xfId="0" applyFill="1" applyBorder="1" applyAlignment="1">
      <alignment horizont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workbookViewId="0">
      <selection activeCell="W28" sqref="W28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3" customWidth="1"/>
    <col min="10" max="12" width="20.44140625" style="63" bestFit="1" customWidth="1"/>
    <col min="13" max="15" width="12.6640625" style="63" bestFit="1" customWidth="1"/>
    <col min="16" max="16" width="12" style="63" bestFit="1" customWidth="1"/>
    <col min="17" max="17" width="8.5546875" style="63" bestFit="1" customWidth="1"/>
    <col min="18" max="18" width="8.88671875" style="63"/>
    <col min="20" max="20" width="14.33203125" customWidth="1"/>
    <col min="21" max="21" width="13.21875" customWidth="1"/>
    <col min="22" max="22" width="12" bestFit="1" customWidth="1"/>
    <col min="27" max="27" width="11.88671875" bestFit="1" customWidth="1"/>
    <col min="28" max="28" width="14.44140625" style="63" bestFit="1" customWidth="1"/>
    <col min="29" max="31" width="20.33203125" style="63" bestFit="1" customWidth="1"/>
    <col min="32" max="32" width="12.6640625" style="63" bestFit="1" customWidth="1"/>
    <col min="33" max="37" width="8.88671875" style="63"/>
  </cols>
  <sheetData>
    <row r="1" spans="1:37" ht="15.6" x14ac:dyDescent="0.35">
      <c r="A1" s="1" t="s">
        <v>68</v>
      </c>
      <c r="B1" s="2"/>
      <c r="C1" s="60" t="s">
        <v>105</v>
      </c>
      <c r="D1" s="61" t="s">
        <v>106</v>
      </c>
      <c r="E1" s="76" t="s">
        <v>114</v>
      </c>
      <c r="I1" s="62" t="s">
        <v>21</v>
      </c>
      <c r="J1" s="62" t="s">
        <v>48</v>
      </c>
      <c r="K1" s="62" t="s">
        <v>49</v>
      </c>
      <c r="L1" s="62" t="s">
        <v>50</v>
      </c>
      <c r="M1" s="62" t="s">
        <v>51</v>
      </c>
      <c r="T1" s="1" t="s">
        <v>69</v>
      </c>
      <c r="U1" s="2"/>
      <c r="V1" s="2"/>
      <c r="W1" s="2"/>
      <c r="X1" s="2"/>
      <c r="Y1" s="60" t="s">
        <v>105</v>
      </c>
      <c r="Z1" s="61" t="s">
        <v>106</v>
      </c>
      <c r="AA1" s="76" t="s">
        <v>114</v>
      </c>
      <c r="AB1" s="62" t="s">
        <v>21</v>
      </c>
      <c r="AC1" s="62" t="s">
        <v>48</v>
      </c>
      <c r="AD1" s="62" t="s">
        <v>49</v>
      </c>
      <c r="AE1" s="62" t="s">
        <v>50</v>
      </c>
      <c r="AF1" s="62" t="s">
        <v>51</v>
      </c>
    </row>
    <row r="2" spans="1:37" x14ac:dyDescent="0.35">
      <c r="A2" s="3"/>
      <c r="B2" s="89"/>
      <c r="C2" s="89"/>
      <c r="D2" s="89"/>
      <c r="E2" s="4"/>
      <c r="I2" s="64" t="s">
        <v>22</v>
      </c>
      <c r="J2" s="64">
        <v>1.54571312258474</v>
      </c>
      <c r="K2" s="64">
        <v>2.0158471991021698</v>
      </c>
      <c r="L2" s="64">
        <v>2.4495594608811899</v>
      </c>
      <c r="M2" s="64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4" t="s">
        <v>22</v>
      </c>
      <c r="AC2" s="64">
        <v>1.48932073849558</v>
      </c>
      <c r="AD2" s="64">
        <v>1.9390508563689</v>
      </c>
      <c r="AE2" s="64">
        <v>2.3686493330662901</v>
      </c>
      <c r="AF2" s="64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2" t="s">
        <v>24</v>
      </c>
      <c r="J3" s="62">
        <v>1.6367668729832101</v>
      </c>
      <c r="K3" s="62">
        <v>2.1000067092997101</v>
      </c>
      <c r="L3" s="62">
        <v>2.5526619991725998</v>
      </c>
      <c r="M3" s="62">
        <v>0.111752267277846</v>
      </c>
      <c r="T3" s="20" t="s">
        <v>4</v>
      </c>
      <c r="U3" s="55">
        <f t="shared" ref="U3:X4" si="0">AC2</f>
        <v>1.48932073849558</v>
      </c>
      <c r="V3" s="55">
        <f t="shared" si="0"/>
        <v>1.9390508563689</v>
      </c>
      <c r="W3" s="55">
        <f t="shared" si="0"/>
        <v>2.3686493330662901</v>
      </c>
      <c r="X3" s="55">
        <f t="shared" si="0"/>
        <v>0.115980786502464</v>
      </c>
      <c r="AB3" s="62" t="s">
        <v>24</v>
      </c>
      <c r="AC3" s="62">
        <v>1.57840020831293</v>
      </c>
      <c r="AD3" s="62">
        <v>2.0142940588334901</v>
      </c>
      <c r="AE3" s="62">
        <v>2.4571593480554101</v>
      </c>
      <c r="AF3" s="62">
        <v>0.111778209127853</v>
      </c>
    </row>
    <row r="4" spans="1:37" x14ac:dyDescent="0.35">
      <c r="A4" s="20" t="s">
        <v>4</v>
      </c>
      <c r="B4" s="55">
        <f>J2</f>
        <v>1.54571312258474</v>
      </c>
      <c r="C4" s="55">
        <f t="shared" ref="C4:E4" si="1">K2</f>
        <v>2.0158471991021698</v>
      </c>
      <c r="D4" s="55">
        <f t="shared" si="1"/>
        <v>2.4495594608811899</v>
      </c>
      <c r="E4" s="55">
        <f t="shared" si="1"/>
        <v>0.113307804081292</v>
      </c>
      <c r="I4" s="62" t="s">
        <v>23</v>
      </c>
      <c r="J4" s="62">
        <v>0.134715052022299</v>
      </c>
      <c r="K4" s="62">
        <v>0.20009524221618299</v>
      </c>
      <c r="L4" s="62">
        <v>0.25957695558589999</v>
      </c>
      <c r="M4" s="62">
        <v>0.159587034413223</v>
      </c>
      <c r="T4" s="2" t="s">
        <v>5</v>
      </c>
      <c r="U4" s="56">
        <f t="shared" si="0"/>
        <v>1.57840020831293</v>
      </c>
      <c r="V4" s="56">
        <f t="shared" si="0"/>
        <v>2.0142940588334901</v>
      </c>
      <c r="W4" s="56">
        <f t="shared" si="0"/>
        <v>2.4571593480554101</v>
      </c>
      <c r="X4" s="56">
        <f t="shared" si="0"/>
        <v>0.111778209127853</v>
      </c>
      <c r="AB4" s="62" t="s">
        <v>23</v>
      </c>
      <c r="AC4" s="62">
        <v>0.12649458079946099</v>
      </c>
      <c r="AD4" s="62">
        <v>0.18926623410898899</v>
      </c>
      <c r="AE4" s="62">
        <v>0.24914510616865301</v>
      </c>
      <c r="AF4" s="62">
        <v>0.165071768169813</v>
      </c>
    </row>
    <row r="5" spans="1:37" ht="16.8" x14ac:dyDescent="0.35">
      <c r="A5" s="2" t="s">
        <v>5</v>
      </c>
      <c r="B5" s="56">
        <f>J3</f>
        <v>1.6367668729832101</v>
      </c>
      <c r="C5" s="56">
        <f t="shared" ref="C5" si="2">K3</f>
        <v>2.1000067092997101</v>
      </c>
      <c r="D5" s="56">
        <f t="shared" ref="D5" si="3">L3</f>
        <v>2.5526619991725998</v>
      </c>
      <c r="E5" s="56">
        <f t="shared" ref="E5" si="4">M3</f>
        <v>0.111752267277846</v>
      </c>
      <c r="I5" s="62" t="s">
        <v>25</v>
      </c>
      <c r="J5" s="65" t="s">
        <v>109</v>
      </c>
      <c r="K5" s="65" t="s">
        <v>110</v>
      </c>
      <c r="L5" s="65" t="s">
        <v>111</v>
      </c>
      <c r="M5" s="66">
        <v>0.159587034413223</v>
      </c>
      <c r="T5" s="10" t="s">
        <v>6</v>
      </c>
      <c r="U5" s="49" t="s">
        <v>118</v>
      </c>
      <c r="V5" s="49" t="s">
        <v>119</v>
      </c>
      <c r="W5" s="49" t="s">
        <v>120</v>
      </c>
      <c r="X5" s="50">
        <f>AF5</f>
        <v>0.165071768169813</v>
      </c>
      <c r="AB5" s="62" t="s">
        <v>25</v>
      </c>
      <c r="AC5" s="80" t="s">
        <v>115</v>
      </c>
      <c r="AD5" s="80" t="s">
        <v>116</v>
      </c>
      <c r="AE5" s="80" t="s">
        <v>117</v>
      </c>
      <c r="AF5" s="81">
        <v>0.165071768169813</v>
      </c>
    </row>
    <row r="6" spans="1:37" ht="16.8" x14ac:dyDescent="0.35">
      <c r="A6" s="10" t="s">
        <v>6</v>
      </c>
      <c r="B6" s="49" t="s">
        <v>56</v>
      </c>
      <c r="C6" s="49" t="s">
        <v>112</v>
      </c>
      <c r="D6" s="49" t="s">
        <v>113</v>
      </c>
      <c r="E6" s="50">
        <f t="shared" ref="C6:E8" si="5">M5</f>
        <v>0.159587034413223</v>
      </c>
      <c r="I6" s="62" t="s">
        <v>42</v>
      </c>
      <c r="J6" s="62">
        <v>4.6913159202842998</v>
      </c>
      <c r="K6" s="62">
        <v>7.5070846835099099</v>
      </c>
      <c r="L6" s="62">
        <v>11.583242856354</v>
      </c>
      <c r="M6" s="62">
        <v>0.227118756565583</v>
      </c>
      <c r="S6" s="8"/>
      <c r="T6" s="11" t="s">
        <v>3</v>
      </c>
      <c r="U6" s="56">
        <f>AC6</f>
        <v>4.4340826174860402</v>
      </c>
      <c r="V6" s="56">
        <f t="shared" ref="V6:W7" si="6">AD6</f>
        <v>6.9521492683911301</v>
      </c>
      <c r="W6" s="56">
        <f t="shared" si="6"/>
        <v>10.6829535026069</v>
      </c>
      <c r="X6" s="56">
        <f>AF6</f>
        <v>0.22642429370341499</v>
      </c>
      <c r="AB6" s="62" t="s">
        <v>42</v>
      </c>
      <c r="AC6" s="62">
        <v>4.4340826174860402</v>
      </c>
      <c r="AD6" s="62">
        <v>6.9521492683911301</v>
      </c>
      <c r="AE6" s="62">
        <v>10.6829535026069</v>
      </c>
      <c r="AF6" s="62">
        <v>0.22642429370341499</v>
      </c>
    </row>
    <row r="7" spans="1:37" x14ac:dyDescent="0.35">
      <c r="A7" s="11" t="s">
        <v>3</v>
      </c>
      <c r="B7" s="56">
        <f>J6</f>
        <v>4.6913159202842998</v>
      </c>
      <c r="C7" s="56">
        <f t="shared" si="5"/>
        <v>7.5070846835099099</v>
      </c>
      <c r="D7" s="56">
        <f t="shared" si="5"/>
        <v>11.583242856354</v>
      </c>
      <c r="E7" s="56">
        <f t="shared" si="5"/>
        <v>0.227118756565583</v>
      </c>
      <c r="I7" s="62" t="s">
        <v>52</v>
      </c>
      <c r="J7" s="62">
        <v>5.1385291091768099</v>
      </c>
      <c r="K7" s="62">
        <v>8.1662247020417897</v>
      </c>
      <c r="L7" s="62">
        <v>12.8412417333756</v>
      </c>
      <c r="M7" s="62">
        <v>0.25766967421867298</v>
      </c>
      <c r="N7" s="67"/>
      <c r="O7" s="67"/>
      <c r="P7" s="67"/>
      <c r="Q7" s="67"/>
      <c r="R7" s="67"/>
      <c r="T7" s="53" t="s">
        <v>104</v>
      </c>
      <c r="U7" s="56">
        <f>AC7</f>
        <v>4.8471951317514801</v>
      </c>
      <c r="V7" s="56">
        <f t="shared" si="6"/>
        <v>7.4954341787033298</v>
      </c>
      <c r="W7" s="56">
        <f t="shared" si="6"/>
        <v>11.6716094264393</v>
      </c>
      <c r="X7" s="56">
        <f>AF7</f>
        <v>0.22991001499682401</v>
      </c>
      <c r="AB7" s="62" t="s">
        <v>52</v>
      </c>
      <c r="AC7" s="62">
        <v>4.8471951317514801</v>
      </c>
      <c r="AD7" s="62">
        <v>7.4954341787033298</v>
      </c>
      <c r="AE7" s="62">
        <v>11.6716094264393</v>
      </c>
      <c r="AF7" s="62">
        <v>0.22991001499682401</v>
      </c>
      <c r="AG7" s="67"/>
      <c r="AH7" s="67"/>
      <c r="AI7" s="67"/>
      <c r="AJ7" s="67"/>
      <c r="AK7" s="67"/>
    </row>
    <row r="8" spans="1:37" ht="15.6" x14ac:dyDescent="0.35">
      <c r="A8" s="12" t="s">
        <v>18</v>
      </c>
      <c r="B8" s="56">
        <f>J7</f>
        <v>5.1385291091768099</v>
      </c>
      <c r="C8" s="56">
        <f t="shared" si="5"/>
        <v>8.1662247020417897</v>
      </c>
      <c r="D8" s="56">
        <f t="shared" si="5"/>
        <v>12.8412417333756</v>
      </c>
      <c r="E8" s="56">
        <f t="shared" si="5"/>
        <v>0.25766967421867298</v>
      </c>
      <c r="I8" s="62" t="s">
        <v>27</v>
      </c>
      <c r="J8" s="62">
        <v>30744.995191785099</v>
      </c>
      <c r="K8" s="62">
        <v>36183.647686352597</v>
      </c>
      <c r="L8" s="62">
        <v>45764.775371028401</v>
      </c>
      <c r="M8" s="62">
        <v>0.10614161185096201</v>
      </c>
      <c r="T8" s="11" t="s">
        <v>8</v>
      </c>
      <c r="U8" s="77">
        <f>AF60</f>
        <v>0.30494792598922299</v>
      </c>
      <c r="V8" s="77">
        <f t="shared" ref="V8:W8" si="7">AG60</f>
        <v>0.38912323444587799</v>
      </c>
      <c r="W8" s="77">
        <f t="shared" si="7"/>
        <v>0.52073299407734197</v>
      </c>
      <c r="X8" s="77">
        <f>AK60</f>
        <v>0.13865838143273482</v>
      </c>
      <c r="AB8" s="62" t="s">
        <v>27</v>
      </c>
      <c r="AC8" s="62">
        <v>31469.427941451799</v>
      </c>
      <c r="AD8" s="62">
        <v>37336.5623581365</v>
      </c>
      <c r="AE8" s="62">
        <v>47724.954000024198</v>
      </c>
      <c r="AF8" s="62">
        <v>0.11178083554405301</v>
      </c>
    </row>
    <row r="9" spans="1:37" ht="15.6" customHeight="1" x14ac:dyDescent="0.35">
      <c r="A9" s="11" t="s">
        <v>7</v>
      </c>
      <c r="B9" s="77">
        <f>M59</f>
        <v>-0.60013594606929899</v>
      </c>
      <c r="C9" s="77">
        <f t="shared" ref="C9:D9" si="8">N59</f>
        <v>-0.20427308068449601</v>
      </c>
      <c r="D9" s="77">
        <f t="shared" si="8"/>
        <v>0.222135968998735</v>
      </c>
      <c r="E9" s="77">
        <f>R59</f>
        <v>-1.0365201902037824</v>
      </c>
      <c r="I9" s="62" t="s">
        <v>26</v>
      </c>
      <c r="J9" s="62">
        <v>31347.265959356901</v>
      </c>
      <c r="K9" s="62">
        <v>37075.913919412902</v>
      </c>
      <c r="L9" s="62">
        <v>47558.4460230736</v>
      </c>
      <c r="M9" s="62">
        <v>0.112904574970246</v>
      </c>
      <c r="T9" s="17" t="s">
        <v>55</v>
      </c>
      <c r="U9" s="57">
        <f>AC8</f>
        <v>31469.427941451799</v>
      </c>
      <c r="V9" s="57">
        <f>AD8</f>
        <v>37336.5623581365</v>
      </c>
      <c r="W9" s="57">
        <f>AE8</f>
        <v>47724.954000024198</v>
      </c>
      <c r="X9" s="56">
        <f>AF8</f>
        <v>0.11178083554405301</v>
      </c>
      <c r="AB9" s="62" t="s">
        <v>26</v>
      </c>
      <c r="AC9" s="62">
        <v>32095.522766456699</v>
      </c>
      <c r="AD9" s="62">
        <v>38222.565846548598</v>
      </c>
      <c r="AE9" s="62">
        <v>49879.901843683299</v>
      </c>
      <c r="AF9" s="62">
        <v>0.118752070244523</v>
      </c>
    </row>
    <row r="10" spans="1:37" ht="15.6" x14ac:dyDescent="0.35">
      <c r="A10" s="11" t="s">
        <v>8</v>
      </c>
      <c r="B10" s="77">
        <f>M60</f>
        <v>0.30215035774497401</v>
      </c>
      <c r="C10" s="77">
        <f t="shared" ref="C10:D10" si="9">N60</f>
        <v>0.38712270844306701</v>
      </c>
      <c r="D10" s="77">
        <f t="shared" si="9"/>
        <v>0.516919801608268</v>
      </c>
      <c r="E10" s="77">
        <f>R60</f>
        <v>0.14102752732506105</v>
      </c>
      <c r="I10" s="62" t="s">
        <v>29</v>
      </c>
      <c r="J10" s="62">
        <v>0.60834336588422899</v>
      </c>
      <c r="K10" s="62">
        <v>0.72497045356776602</v>
      </c>
      <c r="L10" s="62">
        <v>0.80659428849853398</v>
      </c>
      <c r="M10" s="62">
        <v>6.9992776922310498E-2</v>
      </c>
      <c r="T10" s="19" t="s">
        <v>66</v>
      </c>
      <c r="U10" s="56">
        <f>AC10</f>
        <v>0.59224122316788197</v>
      </c>
      <c r="V10" s="56">
        <f>AD10</f>
        <v>0.70801115958377603</v>
      </c>
      <c r="W10" s="56">
        <f>AE10</f>
        <v>0.79310508008851799</v>
      </c>
      <c r="X10" s="56">
        <f>AF10</f>
        <v>7.3172501008005597E-2</v>
      </c>
      <c r="AB10" s="62" t="s">
        <v>29</v>
      </c>
      <c r="AC10" s="62">
        <v>0.59224122316788197</v>
      </c>
      <c r="AD10" s="62">
        <v>0.70801115958377603</v>
      </c>
      <c r="AE10" s="62">
        <v>0.79310508008851799</v>
      </c>
      <c r="AF10" s="62">
        <v>7.3172501008005597E-2</v>
      </c>
    </row>
    <row r="11" spans="1:37" ht="15.6" x14ac:dyDescent="0.35">
      <c r="A11" s="17" t="s">
        <v>55</v>
      </c>
      <c r="B11" s="57">
        <f>J8</f>
        <v>30744.995191785099</v>
      </c>
      <c r="C11" s="57">
        <f>K8</f>
        <v>36183.647686352597</v>
      </c>
      <c r="D11" s="57">
        <f t="shared" ref="D11:E11" si="10">L8</f>
        <v>45764.775371028401</v>
      </c>
      <c r="E11" s="56">
        <f t="shared" si="10"/>
        <v>0.10614161185096201</v>
      </c>
      <c r="I11" s="62" t="s">
        <v>28</v>
      </c>
      <c r="J11" s="62">
        <v>0.63336859401078704</v>
      </c>
      <c r="K11" s="62">
        <v>0.74265787102890801</v>
      </c>
      <c r="L11" s="62">
        <v>0.82270751947195297</v>
      </c>
      <c r="M11" s="62">
        <v>6.5582603842943205E-2</v>
      </c>
      <c r="T11" s="17" t="s">
        <v>53</v>
      </c>
      <c r="U11" s="57">
        <f>AC12</f>
        <v>40137.252373282099</v>
      </c>
      <c r="V11" s="57">
        <f>AD12</f>
        <v>52835.626292668501</v>
      </c>
      <c r="W11" s="57">
        <f>AE12</f>
        <v>79054.770071689796</v>
      </c>
      <c r="X11" s="56">
        <f>AF12</f>
        <v>0.19506824324053099</v>
      </c>
      <c r="AB11" s="62" t="s">
        <v>28</v>
      </c>
      <c r="AC11" s="62">
        <v>0.61746502173217499</v>
      </c>
      <c r="AD11" s="62">
        <v>0.72463527422838203</v>
      </c>
      <c r="AE11" s="62">
        <v>0.80782266008341697</v>
      </c>
      <c r="AF11" s="62">
        <v>6.7892359922843801E-2</v>
      </c>
    </row>
    <row r="12" spans="1:37" ht="15.6" x14ac:dyDescent="0.35">
      <c r="A12" s="19" t="s">
        <v>66</v>
      </c>
      <c r="B12" s="56">
        <f>J10</f>
        <v>0.60834336588422899</v>
      </c>
      <c r="C12" s="56">
        <f>K10</f>
        <v>0.72497045356776602</v>
      </c>
      <c r="D12" s="56">
        <f>L10</f>
        <v>0.80659428849853398</v>
      </c>
      <c r="E12" s="56">
        <f>M10</f>
        <v>6.9992776922310498E-2</v>
      </c>
      <c r="I12" s="62" t="s">
        <v>30</v>
      </c>
      <c r="J12" s="62">
        <v>38524.221486572198</v>
      </c>
      <c r="K12" s="62">
        <v>49976.200899365198</v>
      </c>
      <c r="L12" s="62">
        <v>74230.755007900603</v>
      </c>
      <c r="M12" s="62">
        <v>0.18430438280019301</v>
      </c>
      <c r="T12" s="17" t="s">
        <v>54</v>
      </c>
      <c r="U12" s="57">
        <f>AC15</f>
        <v>91939.721979812806</v>
      </c>
      <c r="V12" s="57">
        <f t="shared" ref="V12:X13" si="11">AD15</f>
        <v>102413.802064591</v>
      </c>
      <c r="W12" s="57">
        <f t="shared" si="11"/>
        <v>121967.25504689</v>
      </c>
      <c r="X12" s="56">
        <f t="shared" si="11"/>
        <v>7.67138620592316E-2</v>
      </c>
      <c r="AB12" s="62" t="s">
        <v>30</v>
      </c>
      <c r="AC12" s="62">
        <v>40137.252373282099</v>
      </c>
      <c r="AD12" s="62">
        <v>52835.626292668501</v>
      </c>
      <c r="AE12" s="62">
        <v>79054.770071689796</v>
      </c>
      <c r="AF12" s="62">
        <v>0.19506824324053099</v>
      </c>
    </row>
    <row r="13" spans="1:37" ht="15.6" x14ac:dyDescent="0.35">
      <c r="A13" s="17" t="s">
        <v>53</v>
      </c>
      <c r="B13" s="57">
        <f>J12</f>
        <v>38524.221486572198</v>
      </c>
      <c r="C13" s="57">
        <f>K12</f>
        <v>49976.200899365198</v>
      </c>
      <c r="D13" s="57">
        <f>L12</f>
        <v>74230.755007900603</v>
      </c>
      <c r="E13" s="56">
        <f>M12</f>
        <v>0.18430438280019301</v>
      </c>
      <c r="I13" s="62" t="s">
        <v>31</v>
      </c>
      <c r="J13" s="62">
        <v>120060.23805832</v>
      </c>
      <c r="K13" s="62">
        <v>144811.21810340701</v>
      </c>
      <c r="L13" s="62">
        <v>183712.283186074</v>
      </c>
      <c r="M13" s="62">
        <v>0.15161201656575701</v>
      </c>
      <c r="T13" s="18" t="s">
        <v>19</v>
      </c>
      <c r="U13" s="58">
        <f>AC16</f>
        <v>64704.338212613402</v>
      </c>
      <c r="V13" s="58">
        <f t="shared" si="11"/>
        <v>91190.8731753014</v>
      </c>
      <c r="W13" s="58">
        <f t="shared" si="11"/>
        <v>125287.51439440501</v>
      </c>
      <c r="X13" s="59">
        <f t="shared" si="11"/>
        <v>0.16854600083529001</v>
      </c>
      <c r="AB13" s="62" t="s">
        <v>31</v>
      </c>
      <c r="AC13" s="62">
        <v>116552.28181012699</v>
      </c>
      <c r="AD13" s="62">
        <v>140458.99092033799</v>
      </c>
      <c r="AE13" s="62">
        <v>175696.190196885</v>
      </c>
      <c r="AF13" s="62">
        <v>0.106624042581975</v>
      </c>
    </row>
    <row r="14" spans="1:37" ht="16.2" thickBot="1" x14ac:dyDescent="0.4">
      <c r="A14" s="17" t="s">
        <v>54</v>
      </c>
      <c r="B14" s="57">
        <f t="shared" ref="B14:E15" si="12">J15</f>
        <v>91745.41716995</v>
      </c>
      <c r="C14" s="57">
        <f t="shared" si="12"/>
        <v>100599.05893675701</v>
      </c>
      <c r="D14" s="57">
        <f t="shared" si="12"/>
        <v>118013.336799461</v>
      </c>
      <c r="E14" s="56">
        <f t="shared" si="12"/>
        <v>6.8607103724920196E-2</v>
      </c>
      <c r="I14" s="62" t="s">
        <v>32</v>
      </c>
      <c r="J14" s="62">
        <v>109038.355533642</v>
      </c>
      <c r="K14" s="62">
        <v>132243.53535631701</v>
      </c>
      <c r="L14" s="62">
        <v>163064.904145129</v>
      </c>
      <c r="M14" s="62">
        <v>0.102483808744045</v>
      </c>
      <c r="AB14" s="62" t="s">
        <v>32</v>
      </c>
      <c r="AC14" s="62">
        <v>106063.27635300699</v>
      </c>
      <c r="AD14" s="62">
        <v>129055.519348142</v>
      </c>
      <c r="AE14" s="62">
        <v>158819.421792023</v>
      </c>
      <c r="AF14" s="62">
        <v>0.103759250637789</v>
      </c>
    </row>
    <row r="15" spans="1:37" x14ac:dyDescent="0.35">
      <c r="A15" s="18" t="s">
        <v>19</v>
      </c>
      <c r="B15" s="58">
        <f t="shared" si="12"/>
        <v>67757.751931758001</v>
      </c>
      <c r="C15" s="58">
        <f t="shared" si="12"/>
        <v>95526.830460038298</v>
      </c>
      <c r="D15" s="58">
        <f t="shared" si="12"/>
        <v>131580.390669407</v>
      </c>
      <c r="E15" s="59">
        <f t="shared" si="12"/>
        <v>0.165601457373098</v>
      </c>
      <c r="I15" s="62" t="s">
        <v>33</v>
      </c>
      <c r="J15" s="62">
        <v>91745.41716995</v>
      </c>
      <c r="K15" s="62">
        <v>100599.05893675701</v>
      </c>
      <c r="L15" s="62">
        <v>118013.336799461</v>
      </c>
      <c r="M15" s="62">
        <v>6.8607103724920196E-2</v>
      </c>
      <c r="T15" s="82" t="s">
        <v>121</v>
      </c>
      <c r="U15" s="83"/>
      <c r="X15" s="82" t="s">
        <v>128</v>
      </c>
      <c r="Y15" s="83" t="s">
        <v>129</v>
      </c>
      <c r="AB15" s="62" t="s">
        <v>33</v>
      </c>
      <c r="AC15" s="62">
        <v>91939.721979812806</v>
      </c>
      <c r="AD15" s="62">
        <v>102413.802064591</v>
      </c>
      <c r="AE15" s="62">
        <v>121967.25504689</v>
      </c>
      <c r="AF15" s="62">
        <v>7.67138620592316E-2</v>
      </c>
    </row>
    <row r="16" spans="1:37" x14ac:dyDescent="0.35">
      <c r="I16" s="62" t="s">
        <v>19</v>
      </c>
      <c r="J16" s="62">
        <v>67757.751931758001</v>
      </c>
      <c r="K16" s="62">
        <v>95526.830460038298</v>
      </c>
      <c r="L16" s="62">
        <v>131580.390669407</v>
      </c>
      <c r="M16" s="62">
        <v>0.165601457373098</v>
      </c>
      <c r="T16" s="84" t="s">
        <v>122</v>
      </c>
      <c r="U16" s="85"/>
      <c r="V16" s="54"/>
      <c r="W16" s="54"/>
      <c r="X16" s="91">
        <v>0</v>
      </c>
      <c r="Y16" s="92">
        <v>1</v>
      </c>
      <c r="AB16" s="62" t="s">
        <v>19</v>
      </c>
      <c r="AC16" s="62">
        <v>64704.338212613402</v>
      </c>
      <c r="AD16" s="62">
        <v>91190.8731753014</v>
      </c>
      <c r="AE16" s="62">
        <v>125287.51439440501</v>
      </c>
      <c r="AF16" s="62">
        <v>0.16854600083529001</v>
      </c>
    </row>
    <row r="17" spans="1:37" ht="15.6" thickBot="1" x14ac:dyDescent="0.4">
      <c r="I17" s="62" t="s">
        <v>103</v>
      </c>
      <c r="J17" s="62">
        <v>77703.231947424007</v>
      </c>
      <c r="K17" s="62">
        <v>107218.786195184</v>
      </c>
      <c r="L17" s="62">
        <v>150886.35263573</v>
      </c>
      <c r="M17" s="62">
        <v>0.218918651258245</v>
      </c>
      <c r="T17" s="86" t="s">
        <v>123</v>
      </c>
      <c r="U17" s="87"/>
      <c r="V17" s="54"/>
      <c r="W17" s="54"/>
      <c r="X17" s="94">
        <v>1</v>
      </c>
      <c r="Y17" s="95">
        <v>-0.21462298599999999</v>
      </c>
      <c r="AB17" s="62" t="s">
        <v>103</v>
      </c>
      <c r="AC17" s="62">
        <v>73976.190060548106</v>
      </c>
      <c r="AD17" s="62">
        <v>101417.623811463</v>
      </c>
      <c r="AE17" s="62">
        <v>140791.03893701601</v>
      </c>
      <c r="AF17" s="62">
        <v>0.16624262842276599</v>
      </c>
    </row>
    <row r="18" spans="1:37" x14ac:dyDescent="0.35">
      <c r="A18" s="82" t="s">
        <v>125</v>
      </c>
      <c r="B18" s="83"/>
      <c r="I18" s="62" t="s">
        <v>34</v>
      </c>
      <c r="J18" s="62">
        <v>129607.359754391</v>
      </c>
      <c r="K18" s="62">
        <v>151019.26481317601</v>
      </c>
      <c r="L18" s="62">
        <v>187111.83834804001</v>
      </c>
      <c r="M18" s="62">
        <v>0.138473443889332</v>
      </c>
      <c r="U18" s="54"/>
      <c r="V18" s="54"/>
      <c r="W18" s="54"/>
      <c r="X18" s="91">
        <v>2</v>
      </c>
      <c r="Y18" s="92">
        <v>-0.129905138</v>
      </c>
      <c r="AB18" s="62" t="s">
        <v>34</v>
      </c>
      <c r="AC18" s="62">
        <v>126399.247285966</v>
      </c>
      <c r="AD18" s="62">
        <v>147537.197837349</v>
      </c>
      <c r="AE18" s="62">
        <v>180365.959584283</v>
      </c>
      <c r="AF18" s="62">
        <v>9.3269255154987796E-2</v>
      </c>
    </row>
    <row r="19" spans="1:37" x14ac:dyDescent="0.35">
      <c r="A19" s="84" t="s">
        <v>126</v>
      </c>
      <c r="B19" s="85"/>
      <c r="I19" s="68" t="s">
        <v>35</v>
      </c>
      <c r="J19" s="68">
        <v>119254.090985519</v>
      </c>
      <c r="K19" s="68">
        <v>138849.38501002701</v>
      </c>
      <c r="L19" s="68">
        <v>167201.259423827</v>
      </c>
      <c r="M19" s="68">
        <v>8.6381170450961706E-2</v>
      </c>
      <c r="T19" s="88" t="s">
        <v>124</v>
      </c>
      <c r="U19" s="54"/>
      <c r="V19" s="54"/>
      <c r="W19" s="54"/>
      <c r="X19" s="91">
        <v>3</v>
      </c>
      <c r="Y19" s="92">
        <v>0.154726529</v>
      </c>
      <c r="AB19" s="68" t="s">
        <v>35</v>
      </c>
      <c r="AC19" s="68">
        <v>116602.362376968</v>
      </c>
      <c r="AD19" s="68">
        <v>136548.92409908201</v>
      </c>
      <c r="AE19" s="68">
        <v>163610.73540451101</v>
      </c>
      <c r="AF19" s="68">
        <v>8.7886536889388897E-2</v>
      </c>
    </row>
    <row r="20" spans="1:37" ht="15.6" thickBot="1" x14ac:dyDescent="0.4">
      <c r="A20" s="86" t="s">
        <v>127</v>
      </c>
      <c r="B20" s="87"/>
      <c r="U20" s="54"/>
      <c r="V20" s="54"/>
      <c r="W20" s="54"/>
      <c r="X20" s="91">
        <v>4</v>
      </c>
      <c r="Y20" s="92">
        <v>0.19078645499999999</v>
      </c>
    </row>
    <row r="21" spans="1:37" x14ac:dyDescent="0.3">
      <c r="I21" s="62" t="s">
        <v>21</v>
      </c>
      <c r="J21" s="62" t="s">
        <v>36</v>
      </c>
      <c r="K21" s="62" t="s">
        <v>37</v>
      </c>
      <c r="L21" s="62" t="s">
        <v>38</v>
      </c>
      <c r="M21" s="69">
        <v>2.5000000000000001E-2</v>
      </c>
      <c r="N21" s="70">
        <v>0.5</v>
      </c>
      <c r="O21" s="69">
        <v>0.97499999999999998</v>
      </c>
      <c r="P21" s="62" t="s">
        <v>39</v>
      </c>
      <c r="Q21" s="62" t="s">
        <v>40</v>
      </c>
      <c r="R21" s="62" t="s">
        <v>63</v>
      </c>
      <c r="U21" s="54"/>
      <c r="V21" s="54"/>
      <c r="W21" s="54"/>
      <c r="X21" s="91">
        <v>5</v>
      </c>
      <c r="Y21" s="85">
        <v>-0.27822334300000001</v>
      </c>
      <c r="AB21" s="62" t="s">
        <v>21</v>
      </c>
      <c r="AC21" s="62" t="s">
        <v>36</v>
      </c>
      <c r="AD21" s="62" t="s">
        <v>37</v>
      </c>
      <c r="AE21" s="62" t="s">
        <v>38</v>
      </c>
      <c r="AF21" s="69">
        <v>2.5000000000000001E-2</v>
      </c>
      <c r="AG21" s="70">
        <v>0.5</v>
      </c>
      <c r="AH21" s="69">
        <v>0.97499999999999998</v>
      </c>
      <c r="AI21" s="62" t="s">
        <v>39</v>
      </c>
      <c r="AJ21" s="62" t="s">
        <v>40</v>
      </c>
      <c r="AK21" s="62" t="s">
        <v>63</v>
      </c>
    </row>
    <row r="22" spans="1:37" x14ac:dyDescent="0.3">
      <c r="A22" s="6"/>
      <c r="B22" s="7"/>
      <c r="C22" s="7"/>
      <c r="D22" s="7"/>
      <c r="E22" s="7"/>
      <c r="I22" s="64" t="s">
        <v>41</v>
      </c>
      <c r="J22" s="64">
        <v>6.8503905593205596</v>
      </c>
      <c r="K22" s="64">
        <v>1.85989088737076</v>
      </c>
      <c r="L22" s="64">
        <v>2.3517366832789599E-2</v>
      </c>
      <c r="M22" s="64">
        <v>3.7424299704208801</v>
      </c>
      <c r="N22" s="64">
        <v>6.6727169802287101</v>
      </c>
      <c r="O22" s="64">
        <v>10.9535217560211</v>
      </c>
      <c r="P22" s="64">
        <v>1.2644487368845001E-2</v>
      </c>
      <c r="Q22" s="64" t="b">
        <v>1</v>
      </c>
      <c r="R22" s="64">
        <f>K22/J22</f>
        <v>0.2715014379494341</v>
      </c>
      <c r="U22" s="54"/>
      <c r="V22" s="54"/>
      <c r="W22" s="54"/>
      <c r="X22" s="91">
        <v>6</v>
      </c>
      <c r="Y22" s="92">
        <v>-0.238683808</v>
      </c>
      <c r="AB22" s="64" t="s">
        <v>41</v>
      </c>
      <c r="AC22" s="64">
        <v>6.7514057505026503</v>
      </c>
      <c r="AD22" s="64">
        <v>1.7857641410490499</v>
      </c>
      <c r="AE22" s="64">
        <v>2.33063196008369E-2</v>
      </c>
      <c r="AF22" s="64">
        <v>3.6878207941859</v>
      </c>
      <c r="AG22" s="64">
        <v>6.6042829802147596</v>
      </c>
      <c r="AH22" s="64">
        <v>10.753470112766299</v>
      </c>
      <c r="AI22" s="64">
        <v>1.30511746008886E-2</v>
      </c>
      <c r="AJ22" s="64" t="b">
        <v>1</v>
      </c>
      <c r="AK22" s="64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62" t="s">
        <v>42</v>
      </c>
      <c r="J23" s="62">
        <v>7.6458921229236703</v>
      </c>
      <c r="K23" s="62">
        <v>1.7365255117930101</v>
      </c>
      <c r="L23" s="62">
        <v>2.2391090314456401E-2</v>
      </c>
      <c r="M23" s="62">
        <v>4.6913159202842998</v>
      </c>
      <c r="N23" s="62">
        <v>7.5070846835099099</v>
      </c>
      <c r="O23" s="62">
        <v>11.583242856354</v>
      </c>
      <c r="P23" s="62">
        <v>1.28941902450584E-2</v>
      </c>
      <c r="Q23" s="62" t="b">
        <v>1</v>
      </c>
      <c r="R23" s="62">
        <f t="shared" ref="R23:R62" si="13">K23/J23</f>
        <v>0.22711875656558306</v>
      </c>
      <c r="T23" s="6"/>
      <c r="U23" s="54"/>
      <c r="V23" s="54"/>
      <c r="W23" s="54"/>
      <c r="X23" s="91">
        <v>7</v>
      </c>
      <c r="Y23" s="92">
        <v>0.28942234500000003</v>
      </c>
      <c r="AB23" s="62" t="s">
        <v>42</v>
      </c>
      <c r="AC23" s="62">
        <v>7.1136543952802</v>
      </c>
      <c r="AD23" s="62">
        <v>1.6107041721015101</v>
      </c>
      <c r="AE23" s="62">
        <v>2.1444363267572899E-2</v>
      </c>
      <c r="AF23" s="62">
        <v>4.4340826174860402</v>
      </c>
      <c r="AG23" s="62">
        <v>6.9521492683911301</v>
      </c>
      <c r="AH23" s="62">
        <v>10.6829535026069</v>
      </c>
      <c r="AI23" s="62">
        <v>1.3313657243213199E-2</v>
      </c>
      <c r="AJ23" s="62" t="b">
        <v>1</v>
      </c>
      <c r="AK23" s="62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62" t="s">
        <v>23</v>
      </c>
      <c r="J24" s="62">
        <v>0.199286626706528</v>
      </c>
      <c r="K24" s="62">
        <v>3.1803561754309699E-2</v>
      </c>
      <c r="L24" s="62">
        <v>4.0950847324552003E-4</v>
      </c>
      <c r="M24" s="62">
        <v>0.134715052022299</v>
      </c>
      <c r="N24" s="62">
        <v>0.20009524221618299</v>
      </c>
      <c r="O24" s="62">
        <v>0.25957695558589999</v>
      </c>
      <c r="P24" s="62">
        <v>1.2876182749877899E-2</v>
      </c>
      <c r="Q24" s="62" t="b">
        <v>1</v>
      </c>
      <c r="R24" s="62">
        <f t="shared" si="13"/>
        <v>0.15958703441322244</v>
      </c>
      <c r="T24" s="6"/>
      <c r="U24" s="54"/>
      <c r="V24" s="54"/>
      <c r="W24" s="54"/>
      <c r="X24" s="91">
        <v>8</v>
      </c>
      <c r="Y24" s="92">
        <v>-4.4572625999999997E-2</v>
      </c>
      <c r="AB24" s="62" t="s">
        <v>23</v>
      </c>
      <c r="AC24" s="62">
        <v>0.189020417636869</v>
      </c>
      <c r="AD24" s="62">
        <v>3.1201934559514401E-2</v>
      </c>
      <c r="AE24" s="62">
        <v>4.1413901393567098E-4</v>
      </c>
      <c r="AF24" s="62">
        <v>0.12649458079946099</v>
      </c>
      <c r="AG24" s="62">
        <v>0.18926623410898899</v>
      </c>
      <c r="AH24" s="62">
        <v>0.24914510616865301</v>
      </c>
      <c r="AI24" s="62">
        <v>1.3272863358704401E-2</v>
      </c>
      <c r="AJ24" s="62" t="b">
        <v>1</v>
      </c>
      <c r="AK24" s="62">
        <f t="shared" si="14"/>
        <v>0.16507176816981262</v>
      </c>
    </row>
    <row r="25" spans="1:37" x14ac:dyDescent="0.3">
      <c r="I25" s="62" t="s">
        <v>70</v>
      </c>
      <c r="J25" s="62">
        <v>-5.1021760791891503E-2</v>
      </c>
      <c r="K25" s="62">
        <v>9.5860002703392899E-2</v>
      </c>
      <c r="L25" s="62">
        <v>1.25903591545393E-3</v>
      </c>
      <c r="M25" s="62">
        <v>-0.23476443889830501</v>
      </c>
      <c r="N25" s="62">
        <v>-5.2584524163090202E-2</v>
      </c>
      <c r="O25" s="62">
        <v>0.14386667147854201</v>
      </c>
      <c r="P25" s="62">
        <v>1.3134110994651199E-2</v>
      </c>
      <c r="Q25" s="62" t="b">
        <v>1</v>
      </c>
      <c r="R25" s="62">
        <f t="shared" si="13"/>
        <v>-1.8788062429751973</v>
      </c>
      <c r="U25" s="54"/>
      <c r="V25" s="54"/>
      <c r="W25" s="54"/>
      <c r="X25" s="91">
        <v>9</v>
      </c>
      <c r="Y25" s="92">
        <v>-0.107632004</v>
      </c>
      <c r="AB25" s="62" t="s">
        <v>70</v>
      </c>
      <c r="AC25" s="62">
        <v>-2.6744174332104399E-2</v>
      </c>
      <c r="AD25" s="62">
        <v>9.9328029641166493E-2</v>
      </c>
      <c r="AE25" s="62">
        <v>1.3236489165473399E-3</v>
      </c>
      <c r="AF25" s="62">
        <v>-0.21863396056598799</v>
      </c>
      <c r="AG25" s="62">
        <v>-2.67070537070913E-2</v>
      </c>
      <c r="AH25" s="62">
        <v>0.16982517393796501</v>
      </c>
      <c r="AI25" s="62">
        <v>1.3326036178601E-2</v>
      </c>
      <c r="AJ25" s="62" t="b">
        <v>1</v>
      </c>
      <c r="AK25" s="62">
        <f t="shared" si="14"/>
        <v>-3.7140062133804803</v>
      </c>
    </row>
    <row r="26" spans="1:37" x14ac:dyDescent="0.3">
      <c r="I26" s="62" t="s">
        <v>71</v>
      </c>
      <c r="J26" s="62">
        <v>7.7063772291456403E-2</v>
      </c>
      <c r="K26" s="62">
        <v>7.9494881235089104E-2</v>
      </c>
      <c r="L26" s="62">
        <v>1.036123331824E-3</v>
      </c>
      <c r="M26" s="62">
        <v>-8.0135529985832704E-2</v>
      </c>
      <c r="N26" s="62">
        <v>7.9495177497507896E-2</v>
      </c>
      <c r="O26" s="62">
        <v>0.226107209667711</v>
      </c>
      <c r="P26" s="62">
        <v>1.3033837093987E-2</v>
      </c>
      <c r="Q26" s="62" t="b">
        <v>1</v>
      </c>
      <c r="R26" s="62">
        <f t="shared" si="13"/>
        <v>1.031546716068326</v>
      </c>
      <c r="U26" s="54"/>
      <c r="V26" s="54"/>
      <c r="W26" s="54"/>
      <c r="X26" s="91">
        <v>10</v>
      </c>
      <c r="Y26" s="92">
        <v>1.2005129999999999E-2</v>
      </c>
      <c r="AB26" s="62" t="s">
        <v>71</v>
      </c>
      <c r="AC26" s="62">
        <v>6.2828297661350202E-2</v>
      </c>
      <c r="AD26" s="62">
        <v>8.6245273021928998E-2</v>
      </c>
      <c r="AE26" s="62">
        <v>1.1133588154850201E-3</v>
      </c>
      <c r="AF26" s="62">
        <v>-0.10884486854054699</v>
      </c>
      <c r="AG26" s="62">
        <v>6.2475671874896201E-2</v>
      </c>
      <c r="AH26" s="62">
        <v>0.232037074350496</v>
      </c>
      <c r="AI26" s="62">
        <v>1.2909215502186801E-2</v>
      </c>
      <c r="AJ26" s="62" t="b">
        <v>1</v>
      </c>
      <c r="AK26" s="62">
        <f t="shared" si="14"/>
        <v>1.3727138285171796</v>
      </c>
    </row>
    <row r="27" spans="1:37" x14ac:dyDescent="0.3">
      <c r="I27" s="62" t="s">
        <v>72</v>
      </c>
      <c r="J27" s="62">
        <v>-0.40757383633206601</v>
      </c>
      <c r="K27" s="62">
        <v>6.6961516372053304E-2</v>
      </c>
      <c r="L27" s="62">
        <v>8.5427582969581795E-4</v>
      </c>
      <c r="M27" s="62">
        <v>-0.54208308822184004</v>
      </c>
      <c r="N27" s="62">
        <v>-0.407079223130972</v>
      </c>
      <c r="O27" s="62">
        <v>-0.27945537953060001</v>
      </c>
      <c r="P27" s="62">
        <v>1.2757713325207099E-2</v>
      </c>
      <c r="Q27" s="62" t="b">
        <v>1</v>
      </c>
      <c r="R27" s="62">
        <f t="shared" si="13"/>
        <v>-0.16429297075265939</v>
      </c>
      <c r="X27" s="84">
        <v>11</v>
      </c>
      <c r="Y27" s="92">
        <v>0.28200027700000002</v>
      </c>
      <c r="AB27" s="62" t="s">
        <v>72</v>
      </c>
      <c r="AC27" s="62">
        <v>-0.41315082388545499</v>
      </c>
      <c r="AD27" s="62">
        <v>7.4808277872585899E-2</v>
      </c>
      <c r="AE27" s="62">
        <v>9.2822927846533904E-4</v>
      </c>
      <c r="AF27" s="62">
        <v>-0.55662352787985503</v>
      </c>
      <c r="AG27" s="62">
        <v>-0.41331410694607101</v>
      </c>
      <c r="AH27" s="62">
        <v>-0.265819416475228</v>
      </c>
      <c r="AI27" s="62">
        <v>1.24081091673612E-2</v>
      </c>
      <c r="AJ27" s="62" t="b">
        <v>1</v>
      </c>
      <c r="AK27" s="62">
        <f t="shared" si="14"/>
        <v>-0.1810677204248449</v>
      </c>
    </row>
    <row r="28" spans="1:37" x14ac:dyDescent="0.3">
      <c r="I28" s="73" t="s">
        <v>73</v>
      </c>
      <c r="J28" s="73">
        <v>0.54712186651961403</v>
      </c>
      <c r="K28" s="73">
        <v>8.5388287388567199E-2</v>
      </c>
      <c r="L28" s="73">
        <v>1.11578842319109E-3</v>
      </c>
      <c r="M28" s="73">
        <v>0.37827275640044999</v>
      </c>
      <c r="N28" s="73">
        <v>0.55030494083178205</v>
      </c>
      <c r="O28" s="73">
        <v>0.70655840772372602</v>
      </c>
      <c r="P28" s="73">
        <v>1.30672303815346E-2</v>
      </c>
      <c r="Q28" s="73" t="b">
        <v>1</v>
      </c>
      <c r="R28" s="62">
        <f t="shared" si="13"/>
        <v>0.15606813145989673</v>
      </c>
      <c r="X28" s="84">
        <v>12</v>
      </c>
      <c r="Y28" s="92">
        <v>-0.195310764</v>
      </c>
      <c r="AB28" s="73" t="s">
        <v>73</v>
      </c>
      <c r="AC28" s="73">
        <v>0.52988619365744805</v>
      </c>
      <c r="AD28" s="73">
        <v>9.1649332756446406E-2</v>
      </c>
      <c r="AE28" s="73">
        <v>1.1830934598767999E-3</v>
      </c>
      <c r="AF28" s="73">
        <v>0.349417307705847</v>
      </c>
      <c r="AG28" s="73">
        <v>0.52966906914820699</v>
      </c>
      <c r="AH28" s="73">
        <v>0.708002284074704</v>
      </c>
      <c r="AI28" s="73">
        <v>1.29089151474873E-2</v>
      </c>
      <c r="AJ28" s="73" t="b">
        <v>1</v>
      </c>
      <c r="AK28" s="62">
        <f t="shared" si="14"/>
        <v>0.17296040895848352</v>
      </c>
    </row>
    <row r="29" spans="1:37" x14ac:dyDescent="0.3">
      <c r="I29" s="73" t="s">
        <v>74</v>
      </c>
      <c r="J29" s="73">
        <v>-0.44980676984400098</v>
      </c>
      <c r="K29" s="73">
        <v>7.7466675341289898E-2</v>
      </c>
      <c r="L29" s="73">
        <v>1.0085335672539899E-3</v>
      </c>
      <c r="M29" s="73">
        <v>-0.60494167375575403</v>
      </c>
      <c r="N29" s="73">
        <v>-0.44709179170729901</v>
      </c>
      <c r="O29" s="73">
        <v>-0.30370692409940098</v>
      </c>
      <c r="P29" s="73">
        <v>1.30189344361399E-2</v>
      </c>
      <c r="Q29" s="73" t="b">
        <v>1</v>
      </c>
      <c r="R29" s="62">
        <f t="shared" si="13"/>
        <v>-0.17222211966297524</v>
      </c>
      <c r="X29" s="84">
        <v>13</v>
      </c>
      <c r="Y29" s="92">
        <v>-6.6011209999999997E-3</v>
      </c>
      <c r="AB29" s="73" t="s">
        <v>74</v>
      </c>
      <c r="AC29" s="73">
        <v>-0.46292266969651902</v>
      </c>
      <c r="AD29" s="73">
        <v>8.4392581353901305E-2</v>
      </c>
      <c r="AE29" s="73">
        <v>1.08945222457043E-3</v>
      </c>
      <c r="AF29" s="73">
        <v>-0.629913929209859</v>
      </c>
      <c r="AG29" s="73">
        <v>-0.46326533597076702</v>
      </c>
      <c r="AH29" s="73">
        <v>-0.29637240072545001</v>
      </c>
      <c r="AI29" s="73">
        <v>1.2909336426170001E-2</v>
      </c>
      <c r="AJ29" s="73" t="b">
        <v>1</v>
      </c>
      <c r="AK29" s="62">
        <f t="shared" si="14"/>
        <v>-0.18230384225777288</v>
      </c>
    </row>
    <row r="30" spans="1:37" ht="15.6" thickBot="1" x14ac:dyDescent="0.35">
      <c r="I30" s="62" t="s">
        <v>75</v>
      </c>
      <c r="J30" s="62">
        <v>-0.476884534829076</v>
      </c>
      <c r="K30" s="62">
        <v>6.4835381352508006E-2</v>
      </c>
      <c r="L30" s="62">
        <v>8.3711637851461001E-4</v>
      </c>
      <c r="M30" s="62">
        <v>-0.60310463901466205</v>
      </c>
      <c r="N30" s="62">
        <v>-0.47806893349359503</v>
      </c>
      <c r="O30" s="62">
        <v>-0.34928049182329801</v>
      </c>
      <c r="P30" s="62">
        <v>1.2911412889873099E-2</v>
      </c>
      <c r="Q30" s="62" t="b">
        <v>1</v>
      </c>
      <c r="R30" s="62">
        <f t="shared" si="13"/>
        <v>-0.13595614161768985</v>
      </c>
      <c r="X30" s="86">
        <v>14</v>
      </c>
      <c r="Y30" s="93">
        <v>-2.1626211999999999E-2</v>
      </c>
      <c r="AB30" s="62" t="s">
        <v>75</v>
      </c>
      <c r="AC30" s="62">
        <v>-0.471757481886587</v>
      </c>
      <c r="AD30" s="62">
        <v>7.2343870329971804E-2</v>
      </c>
      <c r="AE30" s="62">
        <v>9.0253043303309898E-4</v>
      </c>
      <c r="AF30" s="62">
        <v>-0.61300187194476596</v>
      </c>
      <c r="AG30" s="62">
        <v>-0.47173262016770801</v>
      </c>
      <c r="AH30" s="62">
        <v>-0.328882179086735</v>
      </c>
      <c r="AI30" s="62">
        <v>1.24755619089291E-2</v>
      </c>
      <c r="AJ30" s="62" t="b">
        <v>1</v>
      </c>
      <c r="AK30" s="62">
        <f t="shared" si="14"/>
        <v>-0.15334970426046926</v>
      </c>
    </row>
    <row r="31" spans="1:37" x14ac:dyDescent="0.3">
      <c r="I31" s="62" t="s">
        <v>76</v>
      </c>
      <c r="J31" s="62">
        <v>0.24018177199967899</v>
      </c>
      <c r="K31" s="62">
        <v>6.9407472477903506E-2</v>
      </c>
      <c r="L31" s="62">
        <v>8.8528706541674397E-4</v>
      </c>
      <c r="M31" s="62">
        <v>9.9500518086341194E-2</v>
      </c>
      <c r="N31" s="62">
        <v>0.24163537090121501</v>
      </c>
      <c r="O31" s="62">
        <v>0.37304797751614099</v>
      </c>
      <c r="P31" s="62">
        <v>1.27549244167994E-2</v>
      </c>
      <c r="Q31" s="62" t="b">
        <v>1</v>
      </c>
      <c r="R31" s="62">
        <f t="shared" si="13"/>
        <v>0.28897893416323145</v>
      </c>
      <c r="AB31" s="62" t="s">
        <v>76</v>
      </c>
      <c r="AC31" s="62">
        <v>0.232384274918402</v>
      </c>
      <c r="AD31" s="62">
        <v>7.7049386375833098E-2</v>
      </c>
      <c r="AE31" s="62">
        <v>9.9470368074314999E-4</v>
      </c>
      <c r="AF31" s="62">
        <v>8.3649779742075603E-2</v>
      </c>
      <c r="AG31" s="62">
        <v>0.23200946404367001</v>
      </c>
      <c r="AH31" s="62">
        <v>0.38325694647167102</v>
      </c>
      <c r="AI31" s="62">
        <v>1.29099494172629E-2</v>
      </c>
      <c r="AJ31" s="62" t="b">
        <v>1</v>
      </c>
      <c r="AK31" s="62">
        <f t="shared" si="14"/>
        <v>0.33156024177146992</v>
      </c>
    </row>
    <row r="32" spans="1:37" ht="15.6" thickBot="1" x14ac:dyDescent="0.4">
      <c r="I32" s="71" t="s">
        <v>77</v>
      </c>
      <c r="J32" s="71">
        <v>-0.25964633517039498</v>
      </c>
      <c r="K32" s="71">
        <v>9.7524312284919604E-2</v>
      </c>
      <c r="L32" s="71">
        <v>1.28143871233695E-3</v>
      </c>
      <c r="M32" s="71">
        <v>-0.44735742469110301</v>
      </c>
      <c r="N32" s="71">
        <v>-0.26133929150074803</v>
      </c>
      <c r="O32" s="71">
        <v>-6.1926815958369699E-2</v>
      </c>
      <c r="P32" s="71">
        <v>1.3139684682863501E-2</v>
      </c>
      <c r="Q32" s="71" t="b">
        <v>1</v>
      </c>
      <c r="R32" s="62">
        <f t="shared" si="13"/>
        <v>-0.3756044244603664</v>
      </c>
      <c r="T32" s="102" t="s">
        <v>130</v>
      </c>
      <c r="AB32" s="71" t="s">
        <v>77</v>
      </c>
      <c r="AC32" s="71">
        <v>-0.234655058661869</v>
      </c>
      <c r="AD32" s="71">
        <v>0.10084468880069</v>
      </c>
      <c r="AE32" s="71">
        <v>1.3439582235264601E-3</v>
      </c>
      <c r="AF32" s="71">
        <v>-0.42997083449742801</v>
      </c>
      <c r="AG32" s="71">
        <v>-0.234936622733563</v>
      </c>
      <c r="AH32" s="71">
        <v>-3.5908764757496499E-2</v>
      </c>
      <c r="AI32" s="71">
        <v>1.33270104703547E-2</v>
      </c>
      <c r="AJ32" s="71" t="b">
        <v>1</v>
      </c>
      <c r="AK32" s="62">
        <f t="shared" si="14"/>
        <v>-0.42975714811247351</v>
      </c>
    </row>
    <row r="33" spans="9:37" x14ac:dyDescent="0.35">
      <c r="I33" s="71" t="s">
        <v>78</v>
      </c>
      <c r="J33" s="71">
        <v>-0.12685011956820899</v>
      </c>
      <c r="K33" s="71">
        <v>6.6571113979816299E-2</v>
      </c>
      <c r="L33" s="71">
        <v>8.5953428813850905E-4</v>
      </c>
      <c r="M33" s="71">
        <v>-0.25534809118190499</v>
      </c>
      <c r="N33" s="71">
        <v>-0.12800281576637301</v>
      </c>
      <c r="O33" s="71">
        <v>4.2880051875798103E-3</v>
      </c>
      <c r="P33" s="71">
        <v>1.2911520278887201E-2</v>
      </c>
      <c r="Q33" s="71" t="b">
        <v>1</v>
      </c>
      <c r="R33" s="62">
        <f t="shared" si="13"/>
        <v>-0.52480134986408211</v>
      </c>
      <c r="T33" s="96" t="s">
        <v>128</v>
      </c>
      <c r="U33" s="97" t="s">
        <v>131</v>
      </c>
      <c r="V33" s="97" t="s">
        <v>136</v>
      </c>
      <c r="W33" s="97" t="s">
        <v>132</v>
      </c>
      <c r="X33" s="83"/>
      <c r="AB33" s="71" t="s">
        <v>78</v>
      </c>
      <c r="AC33" s="71">
        <v>-0.119412628442901</v>
      </c>
      <c r="AD33" s="71">
        <v>7.3709676586565104E-2</v>
      </c>
      <c r="AE33" s="71">
        <v>9.2092895769566203E-4</v>
      </c>
      <c r="AF33" s="71">
        <v>-0.26305181540665101</v>
      </c>
      <c r="AG33" s="71">
        <v>-0.118896630675504</v>
      </c>
      <c r="AH33" s="71">
        <v>2.5732614374489898E-2</v>
      </c>
      <c r="AI33" s="71">
        <v>1.24940035059592E-2</v>
      </c>
      <c r="AJ33" s="71" t="b">
        <v>1</v>
      </c>
      <c r="AK33" s="62">
        <f t="shared" si="14"/>
        <v>-0.61726868881217645</v>
      </c>
    </row>
    <row r="34" spans="9:37" x14ac:dyDescent="0.35">
      <c r="I34" s="71" t="s">
        <v>79</v>
      </c>
      <c r="J34" s="71">
        <v>-0.15879297325382699</v>
      </c>
      <c r="K34" s="71">
        <v>0.11154329704131299</v>
      </c>
      <c r="L34" s="71">
        <v>1.4320152039682601E-3</v>
      </c>
      <c r="M34" s="71">
        <v>-0.37191763165491698</v>
      </c>
      <c r="N34" s="71">
        <v>-0.16113599476034701</v>
      </c>
      <c r="O34" s="71">
        <v>6.8734974844428795E-2</v>
      </c>
      <c r="P34" s="71">
        <v>1.28382004293622E-2</v>
      </c>
      <c r="Q34" s="71" t="b">
        <v>1</v>
      </c>
      <c r="R34" s="62">
        <f t="shared" si="13"/>
        <v>-0.70244479182975905</v>
      </c>
      <c r="T34" s="98">
        <v>1</v>
      </c>
      <c r="U34" s="104">
        <v>-0.2140329</v>
      </c>
      <c r="V34" s="99">
        <v>2.3934419999999998</v>
      </c>
      <c r="W34" s="104">
        <v>0.252</v>
      </c>
      <c r="X34" s="100"/>
      <c r="AB34" s="71" t="s">
        <v>79</v>
      </c>
      <c r="AC34" s="71">
        <v>-0.12808485803692701</v>
      </c>
      <c r="AD34" s="71">
        <v>0.11375894377284899</v>
      </c>
      <c r="AE34" s="71">
        <v>1.53210263385466E-3</v>
      </c>
      <c r="AF34" s="71">
        <v>-0.34875003685148298</v>
      </c>
      <c r="AG34" s="71">
        <v>-0.129231589397858</v>
      </c>
      <c r="AH34" s="71">
        <v>9.8705525556101195E-2</v>
      </c>
      <c r="AI34" s="71">
        <v>1.34679752030217E-2</v>
      </c>
      <c r="AJ34" s="71" t="b">
        <v>1</v>
      </c>
      <c r="AK34" s="62">
        <f t="shared" si="14"/>
        <v>-0.88815294419932256</v>
      </c>
    </row>
    <row r="35" spans="9:37" x14ac:dyDescent="0.35">
      <c r="I35" s="71" t="s">
        <v>80</v>
      </c>
      <c r="J35" s="71">
        <v>0.36541937978178801</v>
      </c>
      <c r="K35" s="71">
        <v>8.6990127730902797E-2</v>
      </c>
      <c r="L35" s="71">
        <v>1.10075573306572E-3</v>
      </c>
      <c r="M35" s="71">
        <v>0.19786972834456401</v>
      </c>
      <c r="N35" s="71">
        <v>0.36364249926314302</v>
      </c>
      <c r="O35" s="71">
        <v>0.54234076921761198</v>
      </c>
      <c r="P35" s="71">
        <v>1.2653800629777501E-2</v>
      </c>
      <c r="Q35" s="71" t="b">
        <v>1</v>
      </c>
      <c r="R35" s="62">
        <f t="shared" si="13"/>
        <v>0.23805559459613057</v>
      </c>
      <c r="T35" s="98" t="s">
        <v>133</v>
      </c>
      <c r="U35" s="103" t="s">
        <v>134</v>
      </c>
      <c r="V35" s="103" t="s">
        <v>135</v>
      </c>
      <c r="W35" s="103" t="s">
        <v>138</v>
      </c>
      <c r="X35" s="92"/>
      <c r="AB35" s="71" t="s">
        <v>80</v>
      </c>
      <c r="AC35" s="71">
        <v>0.38569987006717099</v>
      </c>
      <c r="AD35" s="71">
        <v>9.13218543214738E-2</v>
      </c>
      <c r="AE35" s="71">
        <v>1.2154513590883699E-3</v>
      </c>
      <c r="AF35" s="71">
        <v>0.20963991744636701</v>
      </c>
      <c r="AG35" s="71">
        <v>0.38543726723366101</v>
      </c>
      <c r="AH35" s="71">
        <v>0.56576363066796098</v>
      </c>
      <c r="AI35" s="71">
        <v>1.3309534372897201E-2</v>
      </c>
      <c r="AJ35" s="71" t="b">
        <v>1</v>
      </c>
      <c r="AK35" s="62">
        <f t="shared" si="14"/>
        <v>0.23676921204450957</v>
      </c>
    </row>
    <row r="36" spans="9:37" ht="15.6" thickBot="1" x14ac:dyDescent="0.4">
      <c r="I36" s="71" t="s">
        <v>81</v>
      </c>
      <c r="J36" s="71">
        <v>-0.31069839637011998</v>
      </c>
      <c r="K36" s="71">
        <v>6.6668943537056796E-2</v>
      </c>
      <c r="L36" s="71">
        <v>8.6079769507675403E-4</v>
      </c>
      <c r="M36" s="71">
        <v>-0.43965736732539701</v>
      </c>
      <c r="N36" s="71">
        <v>-0.31187916640283198</v>
      </c>
      <c r="O36" s="71">
        <v>-0.17955843769945701</v>
      </c>
      <c r="P36" s="71">
        <v>1.29115244581354E-2</v>
      </c>
      <c r="Q36" s="71" t="b">
        <v>1</v>
      </c>
      <c r="R36" s="62">
        <f t="shared" si="13"/>
        <v>-0.21457768793128018</v>
      </c>
      <c r="T36" s="86" t="s">
        <v>137</v>
      </c>
      <c r="U36" s="101"/>
      <c r="V36" s="101"/>
      <c r="W36" s="101"/>
      <c r="X36" s="93"/>
      <c r="AB36" s="71" t="s">
        <v>81</v>
      </c>
      <c r="AC36" s="71">
        <v>-0.30315399162948597</v>
      </c>
      <c r="AD36" s="71">
        <v>7.3788444770042996E-2</v>
      </c>
      <c r="AE36" s="71">
        <v>9.2202140892682402E-4</v>
      </c>
      <c r="AF36" s="71">
        <v>-0.446965373237522</v>
      </c>
      <c r="AG36" s="71">
        <v>-0.30262653403122702</v>
      </c>
      <c r="AH36" s="71">
        <v>-0.157639394649637</v>
      </c>
      <c r="AI36" s="71">
        <v>1.2495471503705601E-2</v>
      </c>
      <c r="AJ36" s="71" t="b">
        <v>1</v>
      </c>
      <c r="AK36" s="62">
        <f t="shared" si="14"/>
        <v>-0.24340251755690898</v>
      </c>
    </row>
    <row r="37" spans="9:37" x14ac:dyDescent="0.35">
      <c r="I37" s="71" t="s">
        <v>82</v>
      </c>
      <c r="J37" s="71">
        <v>-0.53252579739064299</v>
      </c>
      <c r="K37" s="71">
        <v>0.11703284118759601</v>
      </c>
      <c r="L37" s="71">
        <v>1.5015337519762399E-3</v>
      </c>
      <c r="M37" s="71">
        <v>-0.758590571043531</v>
      </c>
      <c r="N37" s="71">
        <v>-0.53504989248059198</v>
      </c>
      <c r="O37" s="71">
        <v>-0.29285333091930199</v>
      </c>
      <c r="P37" s="71">
        <v>1.2830020503128601E-2</v>
      </c>
      <c r="Q37" s="71" t="b">
        <v>1</v>
      </c>
      <c r="R37" s="62">
        <f t="shared" si="13"/>
        <v>-0.2197693365486755</v>
      </c>
      <c r="AB37" s="71" t="s">
        <v>82</v>
      </c>
      <c r="AC37" s="71">
        <v>-0.499683791382589</v>
      </c>
      <c r="AD37" s="71">
        <v>0.118871050551956</v>
      </c>
      <c r="AE37" s="71">
        <v>1.599934463328E-3</v>
      </c>
      <c r="AF37" s="71">
        <v>-0.72956223044940804</v>
      </c>
      <c r="AG37" s="71">
        <v>-0.50151901050782999</v>
      </c>
      <c r="AH37" s="71">
        <v>-0.263431375417994</v>
      </c>
      <c r="AI37" s="71">
        <v>1.34594121604798E-2</v>
      </c>
      <c r="AJ37" s="71" t="b">
        <v>1</v>
      </c>
      <c r="AK37" s="62">
        <f t="shared" si="14"/>
        <v>-0.2378925484515885</v>
      </c>
    </row>
    <row r="38" spans="9:37" x14ac:dyDescent="0.35">
      <c r="I38" s="71" t="s">
        <v>83</v>
      </c>
      <c r="J38" s="71">
        <v>0.41189351330158003</v>
      </c>
      <c r="K38" s="71">
        <v>6.7200448807703705E-2</v>
      </c>
      <c r="L38" s="71">
        <v>8.6766161926002698E-4</v>
      </c>
      <c r="M38" s="71">
        <v>0.28235243441202001</v>
      </c>
      <c r="N38" s="71">
        <v>0.41076021158478099</v>
      </c>
      <c r="O38" s="71">
        <v>0.54407728072219297</v>
      </c>
      <c r="P38" s="71">
        <v>1.29115450068328E-2</v>
      </c>
      <c r="Q38" s="71" t="b">
        <v>1</v>
      </c>
      <c r="R38" s="62">
        <f t="shared" si="13"/>
        <v>0.1631500536851157</v>
      </c>
      <c r="AB38" s="71" t="s">
        <v>83</v>
      </c>
      <c r="AC38" s="71">
        <v>0.41999263080280003</v>
      </c>
      <c r="AD38" s="71">
        <v>7.4218627452457303E-2</v>
      </c>
      <c r="AE38" s="71">
        <v>9.2796920338238597E-4</v>
      </c>
      <c r="AF38" s="71">
        <v>0.27500389045373302</v>
      </c>
      <c r="AG38" s="71">
        <v>0.42064122368058798</v>
      </c>
      <c r="AH38" s="71">
        <v>0.566793945362422</v>
      </c>
      <c r="AI38" s="71">
        <v>1.25031846483125E-2</v>
      </c>
      <c r="AJ38" s="71" t="b">
        <v>1</v>
      </c>
      <c r="AK38" s="62">
        <f t="shared" si="14"/>
        <v>0.17671411831819811</v>
      </c>
    </row>
    <row r="39" spans="9:37" x14ac:dyDescent="0.35">
      <c r="I39" s="71" t="s">
        <v>84</v>
      </c>
      <c r="J39" s="71">
        <v>0.388690008984586</v>
      </c>
      <c r="K39" s="71">
        <v>6.3733708113097504E-2</v>
      </c>
      <c r="L39" s="71">
        <v>8.1410648387807301E-4</v>
      </c>
      <c r="M39" s="71">
        <v>0.26268247135294598</v>
      </c>
      <c r="N39" s="71">
        <v>0.38753096598953002</v>
      </c>
      <c r="O39" s="71">
        <v>0.51152673680827299</v>
      </c>
      <c r="P39" s="71">
        <v>1.27735621852319E-2</v>
      </c>
      <c r="Q39" s="71" t="b">
        <v>1</v>
      </c>
      <c r="R39" s="62">
        <f t="shared" si="13"/>
        <v>0.16397053343253015</v>
      </c>
      <c r="AB39" s="71" t="s">
        <v>84</v>
      </c>
      <c r="AC39" s="71">
        <v>0.38875846347034299</v>
      </c>
      <c r="AD39" s="71">
        <v>7.1702290458138404E-2</v>
      </c>
      <c r="AE39" s="71">
        <v>8.9041026072743704E-4</v>
      </c>
      <c r="AF39" s="71">
        <v>0.24919310939210701</v>
      </c>
      <c r="AG39" s="71">
        <v>0.388337993950575</v>
      </c>
      <c r="AH39" s="71">
        <v>0.52995596013649504</v>
      </c>
      <c r="AI39" s="71">
        <v>1.24181564499293E-2</v>
      </c>
      <c r="AJ39" s="71" t="b">
        <v>1</v>
      </c>
      <c r="AK39" s="62">
        <f t="shared" si="14"/>
        <v>0.18443917546661545</v>
      </c>
    </row>
    <row r="40" spans="9:37" x14ac:dyDescent="0.35">
      <c r="I40" s="71" t="s">
        <v>85</v>
      </c>
      <c r="J40" s="71">
        <v>-0.70410847736267002</v>
      </c>
      <c r="K40" s="71">
        <v>8.1795292768648595E-2</v>
      </c>
      <c r="L40" s="71">
        <v>1.06729908424661E-3</v>
      </c>
      <c r="M40" s="71">
        <v>-0.86615607991891397</v>
      </c>
      <c r="N40" s="71">
        <v>-0.70090527918298196</v>
      </c>
      <c r="O40" s="71">
        <v>-0.55080531522128096</v>
      </c>
      <c r="P40" s="71">
        <v>1.3048416945769499E-2</v>
      </c>
      <c r="Q40" s="71" t="b">
        <v>1</v>
      </c>
      <c r="R40" s="62">
        <f t="shared" si="13"/>
        <v>-0.11616859532074307</v>
      </c>
      <c r="AB40" s="71" t="s">
        <v>85</v>
      </c>
      <c r="AC40" s="71">
        <v>-0.71955369892951004</v>
      </c>
      <c r="AD40" s="71">
        <v>8.8350881862580499E-2</v>
      </c>
      <c r="AE40" s="71">
        <v>1.1405294861130399E-3</v>
      </c>
      <c r="AF40" s="71">
        <v>-0.89551745138730499</v>
      </c>
      <c r="AG40" s="71">
        <v>-0.71974163619269305</v>
      </c>
      <c r="AH40" s="71">
        <v>-0.54731462019294796</v>
      </c>
      <c r="AI40" s="71">
        <v>1.29090900064472E-2</v>
      </c>
      <c r="AJ40" s="71" t="b">
        <v>1</v>
      </c>
      <c r="AK40" s="62">
        <f t="shared" si="14"/>
        <v>-0.1227856683858638</v>
      </c>
    </row>
    <row r="41" spans="9:37" x14ac:dyDescent="0.35">
      <c r="I41" s="71" t="s">
        <v>86</v>
      </c>
      <c r="J41" s="71">
        <v>-0.24684803735250399</v>
      </c>
      <c r="K41" s="71">
        <v>0.109522581718971</v>
      </c>
      <c r="L41" s="71">
        <v>1.40640503387591E-3</v>
      </c>
      <c r="M41" s="71">
        <v>-0.45520173015753201</v>
      </c>
      <c r="N41" s="71">
        <v>-0.24927705782569601</v>
      </c>
      <c r="O41" s="71">
        <v>-2.4256972030160699E-2</v>
      </c>
      <c r="P41" s="71">
        <v>1.2841233394996701E-2</v>
      </c>
      <c r="Q41" s="71" t="b">
        <v>1</v>
      </c>
      <c r="R41" s="62">
        <f t="shared" si="13"/>
        <v>-0.44368423137418161</v>
      </c>
      <c r="AB41" s="71" t="s">
        <v>86</v>
      </c>
      <c r="AC41" s="71">
        <v>-0.216937780027919</v>
      </c>
      <c r="AD41" s="71">
        <v>0.11188410797765699</v>
      </c>
      <c r="AE41" s="71">
        <v>1.5071537969758701E-3</v>
      </c>
      <c r="AF41" s="71">
        <v>-0.432939715541167</v>
      </c>
      <c r="AG41" s="71">
        <v>-0.218030811228414</v>
      </c>
      <c r="AH41" s="71">
        <v>5.5839186229700698E-3</v>
      </c>
      <c r="AI41" s="71">
        <v>1.3470669107688101E-2</v>
      </c>
      <c r="AJ41" s="71" t="b">
        <v>1</v>
      </c>
      <c r="AK41" s="62">
        <f t="shared" si="14"/>
        <v>-0.5157428455442753</v>
      </c>
    </row>
    <row r="42" spans="9:37" x14ac:dyDescent="0.35">
      <c r="I42" s="71" t="s">
        <v>87</v>
      </c>
      <c r="J42" s="71">
        <v>0.55461452274091605</v>
      </c>
      <c r="K42" s="71">
        <v>6.5891102478227201E-2</v>
      </c>
      <c r="L42" s="71">
        <v>8.4077399138927597E-4</v>
      </c>
      <c r="M42" s="71">
        <v>0.424609806132491</v>
      </c>
      <c r="N42" s="71">
        <v>0.55475116710851102</v>
      </c>
      <c r="O42" s="71">
        <v>0.68080925728109798</v>
      </c>
      <c r="P42" s="71">
        <v>1.27600534786483E-2</v>
      </c>
      <c r="Q42" s="71" t="b">
        <v>1</v>
      </c>
      <c r="R42" s="62">
        <f t="shared" si="13"/>
        <v>0.11880522376621523</v>
      </c>
      <c r="AB42" s="71" t="s">
        <v>87</v>
      </c>
      <c r="AC42" s="71">
        <v>0.55025022128858503</v>
      </c>
      <c r="AD42" s="71">
        <v>7.3816479720174397E-2</v>
      </c>
      <c r="AE42" s="71">
        <v>9.1580961803735205E-4</v>
      </c>
      <c r="AF42" s="71">
        <v>0.409203755021676</v>
      </c>
      <c r="AG42" s="71">
        <v>0.54998964037087605</v>
      </c>
      <c r="AH42" s="71">
        <v>0.69521693283211405</v>
      </c>
      <c r="AI42" s="71">
        <v>1.24065739995869E-2</v>
      </c>
      <c r="AJ42" s="71" t="b">
        <v>1</v>
      </c>
      <c r="AK42" s="62">
        <f t="shared" si="14"/>
        <v>0.13415074972129906</v>
      </c>
    </row>
    <row r="43" spans="9:37" x14ac:dyDescent="0.35">
      <c r="I43" s="71" t="s">
        <v>88</v>
      </c>
      <c r="J43" s="71">
        <v>-0.19186440305313399</v>
      </c>
      <c r="K43" s="71">
        <v>8.2347592731831704E-2</v>
      </c>
      <c r="L43" s="71">
        <v>1.0747677360593E-3</v>
      </c>
      <c r="M43" s="71">
        <v>-0.35560866327044799</v>
      </c>
      <c r="N43" s="71">
        <v>-0.18874998045795599</v>
      </c>
      <c r="O43" s="71">
        <v>-3.6984624320229101E-2</v>
      </c>
      <c r="P43" s="71">
        <v>1.3051598722009099E-2</v>
      </c>
      <c r="Q43" s="71" t="b">
        <v>1</v>
      </c>
      <c r="R43" s="62">
        <f t="shared" si="13"/>
        <v>-0.42919682557804517</v>
      </c>
      <c r="AB43" s="71" t="s">
        <v>88</v>
      </c>
      <c r="AC43" s="71">
        <v>-0.20759202164732299</v>
      </c>
      <c r="AD43" s="71">
        <v>8.8857124684810093E-2</v>
      </c>
      <c r="AE43" s="71">
        <v>1.1470620910001099E-3</v>
      </c>
      <c r="AF43" s="71">
        <v>-0.38428355603844699</v>
      </c>
      <c r="AG43" s="71">
        <v>-0.207616204865986</v>
      </c>
      <c r="AH43" s="71">
        <v>-3.4309381833042198E-2</v>
      </c>
      <c r="AI43" s="71">
        <v>1.2909061541985701E-2</v>
      </c>
      <c r="AJ43" s="71" t="b">
        <v>1</v>
      </c>
      <c r="AK43" s="62">
        <f t="shared" si="14"/>
        <v>-0.42803728187477746</v>
      </c>
    </row>
    <row r="44" spans="9:37" x14ac:dyDescent="0.35">
      <c r="I44" s="71" t="s">
        <v>89</v>
      </c>
      <c r="J44" s="71">
        <v>0.32109196120406902</v>
      </c>
      <c r="K44" s="71">
        <v>6.9485556461556006E-2</v>
      </c>
      <c r="L44" s="71">
        <v>8.7921629910759096E-4</v>
      </c>
      <c r="M44" s="71">
        <v>0.18838638640650399</v>
      </c>
      <c r="N44" s="71">
        <v>0.32039251395775598</v>
      </c>
      <c r="O44" s="71">
        <v>0.45939541288965602</v>
      </c>
      <c r="P44" s="71">
        <v>1.26532238335607E-2</v>
      </c>
      <c r="Q44" s="71" t="b">
        <v>1</v>
      </c>
      <c r="R44" s="62">
        <f t="shared" si="13"/>
        <v>0.21640391182946705</v>
      </c>
      <c r="AB44" s="71" t="s">
        <v>89</v>
      </c>
      <c r="AC44" s="71">
        <v>0.331230358505685</v>
      </c>
      <c r="AD44" s="71">
        <v>7.6100838834740003E-2</v>
      </c>
      <c r="AE44" s="71">
        <v>9.5373872512680797E-4</v>
      </c>
      <c r="AF44" s="71">
        <v>0.181617096166862</v>
      </c>
      <c r="AG44" s="71">
        <v>0.33177066710031999</v>
      </c>
      <c r="AH44" s="71">
        <v>0.48037633585310302</v>
      </c>
      <c r="AI44" s="71">
        <v>1.2532565208616699E-2</v>
      </c>
      <c r="AJ44" s="71" t="b">
        <v>1</v>
      </c>
      <c r="AK44" s="62">
        <f t="shared" si="14"/>
        <v>0.22975200455073583</v>
      </c>
    </row>
    <row r="45" spans="9:37" x14ac:dyDescent="0.35">
      <c r="I45" s="71" t="s">
        <v>90</v>
      </c>
      <c r="J45" s="71">
        <v>0.157251318219116</v>
      </c>
      <c r="K45" s="71">
        <v>0.13957227123599</v>
      </c>
      <c r="L45" s="71">
        <v>1.80706653539346E-3</v>
      </c>
      <c r="M45" s="71">
        <v>-0.115274149616166</v>
      </c>
      <c r="N45" s="71">
        <v>0.15354943477373301</v>
      </c>
      <c r="O45" s="71">
        <v>0.44530673450671798</v>
      </c>
      <c r="P45" s="71">
        <v>1.29471743877984E-2</v>
      </c>
      <c r="Q45" s="71" t="b">
        <v>1</v>
      </c>
      <c r="R45" s="62">
        <f t="shared" si="13"/>
        <v>0.8875745705451461</v>
      </c>
      <c r="AB45" s="71" t="s">
        <v>90</v>
      </c>
      <c r="AC45" s="71">
        <v>0.19848702651257299</v>
      </c>
      <c r="AD45" s="71">
        <v>0.14008725346026701</v>
      </c>
      <c r="AE45" s="71">
        <v>1.8702681611195899E-3</v>
      </c>
      <c r="AF45" s="71">
        <v>-7.3684127720761605E-2</v>
      </c>
      <c r="AG45" s="71">
        <v>0.19606298489253501</v>
      </c>
      <c r="AH45" s="71">
        <v>0.47716040035284402</v>
      </c>
      <c r="AI45" s="71">
        <v>1.33507375933389E-2</v>
      </c>
      <c r="AJ45" s="71" t="b">
        <v>1</v>
      </c>
      <c r="AK45" s="62">
        <f t="shared" si="14"/>
        <v>0.70577536437321409</v>
      </c>
    </row>
    <row r="46" spans="9:37" x14ac:dyDescent="0.35">
      <c r="I46" s="71" t="s">
        <v>91</v>
      </c>
      <c r="J46" s="71">
        <v>0.85411760110749502</v>
      </c>
      <c r="K46" s="71">
        <v>8.7217478877275698E-2</v>
      </c>
      <c r="L46" s="71">
        <v>1.14039417103133E-3</v>
      </c>
      <c r="M46" s="71">
        <v>0.68132019409504097</v>
      </c>
      <c r="N46" s="71">
        <v>0.85762953976506795</v>
      </c>
      <c r="O46" s="71">
        <v>1.01582434174519</v>
      </c>
      <c r="P46" s="71">
        <v>1.30752939171285E-2</v>
      </c>
      <c r="Q46" s="71" t="b">
        <v>1</v>
      </c>
      <c r="R46" s="62">
        <f t="shared" si="13"/>
        <v>0.10211413365581602</v>
      </c>
      <c r="AB46" s="71" t="s">
        <v>91</v>
      </c>
      <c r="AC46" s="71">
        <v>0.83600750421633996</v>
      </c>
      <c r="AD46" s="71">
        <v>9.3333210327930904E-2</v>
      </c>
      <c r="AE46" s="71">
        <v>1.2048229854210999E-3</v>
      </c>
      <c r="AF46" s="71">
        <v>0.652373850815956</v>
      </c>
      <c r="AG46" s="71">
        <v>0.83640223810598902</v>
      </c>
      <c r="AH46" s="71">
        <v>1.01812475150752</v>
      </c>
      <c r="AI46" s="71">
        <v>1.29088347136876E-2</v>
      </c>
      <c r="AJ46" s="71" t="b">
        <v>1</v>
      </c>
      <c r="AK46" s="62">
        <f t="shared" si="14"/>
        <v>0.11164159395365711</v>
      </c>
    </row>
    <row r="47" spans="9:37" x14ac:dyDescent="0.35">
      <c r="I47" s="71" t="s">
        <v>92</v>
      </c>
      <c r="J47" s="71">
        <v>-0.123653988528095</v>
      </c>
      <c r="K47" s="71">
        <v>7.3419698232801103E-2</v>
      </c>
      <c r="L47" s="71">
        <v>9.28671300944422E-4</v>
      </c>
      <c r="M47" s="71">
        <v>-0.26593703111501699</v>
      </c>
      <c r="N47" s="71">
        <v>-0.12540616286053699</v>
      </c>
      <c r="O47" s="71">
        <v>2.4642508541508901E-2</v>
      </c>
      <c r="P47" s="71">
        <v>1.2648803022858601E-2</v>
      </c>
      <c r="Q47" s="71" t="b">
        <v>1</v>
      </c>
      <c r="R47" s="62">
        <f t="shared" si="13"/>
        <v>-0.59375115276705903</v>
      </c>
      <c r="AB47" s="71" t="s">
        <v>92</v>
      </c>
      <c r="AC47" s="71">
        <v>-0.110700962310082</v>
      </c>
      <c r="AD47" s="71">
        <v>7.9423187980104698E-2</v>
      </c>
      <c r="AE47" s="71">
        <v>1.0370785686436099E-3</v>
      </c>
      <c r="AF47" s="71">
        <v>-0.26632171110028302</v>
      </c>
      <c r="AG47" s="71">
        <v>-0.109923089109018</v>
      </c>
      <c r="AH47" s="71">
        <v>4.7461874025858698E-2</v>
      </c>
      <c r="AI47" s="71">
        <v>1.3057629579202999E-2</v>
      </c>
      <c r="AJ47" s="71" t="b">
        <v>1</v>
      </c>
      <c r="AK47" s="62">
        <f t="shared" si="14"/>
        <v>-0.71745706923155894</v>
      </c>
    </row>
    <row r="48" spans="9:37" x14ac:dyDescent="0.35">
      <c r="I48" s="71" t="s">
        <v>93</v>
      </c>
      <c r="J48" s="71">
        <v>0.27281794106440199</v>
      </c>
      <c r="K48" s="71">
        <v>9.6166165142087895E-2</v>
      </c>
      <c r="L48" s="71">
        <v>1.26017719198632E-3</v>
      </c>
      <c r="M48" s="71">
        <v>8.0075708910318996E-2</v>
      </c>
      <c r="N48" s="71">
        <v>0.27658378625607399</v>
      </c>
      <c r="O48" s="71">
        <v>0.45142626503111999</v>
      </c>
      <c r="P48" s="71">
        <v>1.3104163924228199E-2</v>
      </c>
      <c r="Q48" s="71" t="b">
        <v>1</v>
      </c>
      <c r="R48" s="62">
        <f t="shared" si="13"/>
        <v>0.35249208599293219</v>
      </c>
      <c r="AB48" s="71" t="s">
        <v>93</v>
      </c>
      <c r="AC48" s="71">
        <v>0.25068624724945099</v>
      </c>
      <c r="AD48" s="71">
        <v>0.101614684798661</v>
      </c>
      <c r="AE48" s="71">
        <v>1.28441538813781E-3</v>
      </c>
      <c r="AF48" s="71">
        <v>4.9620215255612603E-2</v>
      </c>
      <c r="AG48" s="71">
        <v>0.25184211605975598</v>
      </c>
      <c r="AH48" s="71">
        <v>0.44781418727179401</v>
      </c>
      <c r="AI48" s="71">
        <v>1.26400568055961E-2</v>
      </c>
      <c r="AJ48" s="71" t="b">
        <v>1</v>
      </c>
      <c r="AK48" s="62">
        <f t="shared" si="14"/>
        <v>0.405346068695771</v>
      </c>
    </row>
    <row r="49" spans="9:37" x14ac:dyDescent="0.35">
      <c r="I49" s="71" t="s">
        <v>94</v>
      </c>
      <c r="J49" s="71">
        <v>-0.307337302097483</v>
      </c>
      <c r="K49" s="71">
        <v>6.5648848903199594E-2</v>
      </c>
      <c r="L49" s="71">
        <v>8.4762333465328201E-4</v>
      </c>
      <c r="M49" s="71">
        <v>-0.43285224781688297</v>
      </c>
      <c r="N49" s="71">
        <v>-0.30857812747732</v>
      </c>
      <c r="O49" s="71">
        <v>-0.177638361380903</v>
      </c>
      <c r="P49" s="71">
        <v>1.29114729171127E-2</v>
      </c>
      <c r="Q49" s="71" t="b">
        <v>1</v>
      </c>
      <c r="R49" s="62">
        <f t="shared" si="13"/>
        <v>-0.21360520983026238</v>
      </c>
      <c r="AB49" s="71" t="s">
        <v>94</v>
      </c>
      <c r="AC49" s="71">
        <v>-0.30100554378927602</v>
      </c>
      <c r="AD49" s="71">
        <v>7.2974953316479504E-2</v>
      </c>
      <c r="AE49" s="71">
        <v>9.1067165932866301E-4</v>
      </c>
      <c r="AF49" s="71">
        <v>-0.44440268852481601</v>
      </c>
      <c r="AG49" s="71">
        <v>-0.30084999160860298</v>
      </c>
      <c r="AH49" s="71">
        <v>-0.157315667367523</v>
      </c>
      <c r="AI49" s="71">
        <v>1.24792359287883E-2</v>
      </c>
      <c r="AJ49" s="71" t="b">
        <v>1</v>
      </c>
      <c r="AK49" s="62">
        <f t="shared" si="14"/>
        <v>-0.24243724018440951</v>
      </c>
    </row>
    <row r="50" spans="9:37" x14ac:dyDescent="0.35">
      <c r="I50" s="71" t="s">
        <v>95</v>
      </c>
      <c r="J50" s="71">
        <v>0.161818850493155</v>
      </c>
      <c r="K50" s="71">
        <v>0.19785479337921699</v>
      </c>
      <c r="L50" s="71">
        <v>2.5316790498795499E-3</v>
      </c>
      <c r="M50" s="71">
        <v>-0.23868195559090999</v>
      </c>
      <c r="N50" s="71">
        <v>0.16739251288732901</v>
      </c>
      <c r="O50" s="71">
        <v>0.54199149655246504</v>
      </c>
      <c r="P50" s="71">
        <v>1.27956417261382E-2</v>
      </c>
      <c r="Q50" s="71" t="b">
        <v>1</v>
      </c>
      <c r="R50" s="62">
        <f t="shared" si="13"/>
        <v>1.2226931088451054</v>
      </c>
      <c r="AB50" s="71" t="s">
        <v>95</v>
      </c>
      <c r="AC50" s="71">
        <v>0.10248497248669899</v>
      </c>
      <c r="AD50" s="71">
        <v>0.198561370126035</v>
      </c>
      <c r="AE50" s="71">
        <v>2.5489868103825601E-3</v>
      </c>
      <c r="AF50" s="71">
        <v>-0.299074305937853</v>
      </c>
      <c r="AG50" s="71">
        <v>0.10480141919084</v>
      </c>
      <c r="AH50" s="71">
        <v>0.493366962773224</v>
      </c>
      <c r="AI50" s="71">
        <v>1.28372744847833E-2</v>
      </c>
      <c r="AJ50" s="71" t="b">
        <v>1</v>
      </c>
      <c r="AK50" s="62">
        <f t="shared" si="14"/>
        <v>1.9374681507750346</v>
      </c>
    </row>
    <row r="51" spans="9:37" x14ac:dyDescent="0.35">
      <c r="I51" s="71" t="s">
        <v>96</v>
      </c>
      <c r="J51" s="71">
        <v>-0.20214254394384801</v>
      </c>
      <c r="K51" s="71">
        <v>0.138883036082875</v>
      </c>
      <c r="L51" s="71">
        <v>1.82521956110305E-3</v>
      </c>
      <c r="M51" s="71">
        <v>-0.48408072690320397</v>
      </c>
      <c r="N51" s="71">
        <v>-0.19763199802244499</v>
      </c>
      <c r="O51" s="71">
        <v>6.0525195528282998E-2</v>
      </c>
      <c r="P51" s="71">
        <v>1.3142134652168E-2</v>
      </c>
      <c r="Q51" s="71" t="b">
        <v>1</v>
      </c>
      <c r="R51" s="62">
        <f t="shared" si="13"/>
        <v>-0.68705495326829613</v>
      </c>
      <c r="AB51" s="71" t="s">
        <v>96</v>
      </c>
      <c r="AC51" s="71">
        <v>-0.240850203922607</v>
      </c>
      <c r="AD51" s="71">
        <v>0.14189338369062601</v>
      </c>
      <c r="AE51" s="71">
        <v>1.79066779807134E-3</v>
      </c>
      <c r="AF51" s="71">
        <v>-0.52656621429168604</v>
      </c>
      <c r="AG51" s="71">
        <v>-0.239768493686741</v>
      </c>
      <c r="AH51" s="71">
        <v>3.7798831843463998E-2</v>
      </c>
      <c r="AI51" s="71">
        <v>1.26198118016241E-2</v>
      </c>
      <c r="AJ51" s="71" t="b">
        <v>1</v>
      </c>
      <c r="AK51" s="62">
        <f t="shared" si="14"/>
        <v>-0.5891354102246098</v>
      </c>
    </row>
    <row r="52" spans="9:37" x14ac:dyDescent="0.35">
      <c r="I52" s="71" t="s">
        <v>97</v>
      </c>
      <c r="J52" s="71">
        <v>-0.31612777909506001</v>
      </c>
      <c r="K52" s="71">
        <v>0.11079842981619201</v>
      </c>
      <c r="L52" s="71">
        <v>1.4546142873583801E-3</v>
      </c>
      <c r="M52" s="71">
        <v>-0.54030535067111096</v>
      </c>
      <c r="N52" s="71">
        <v>-0.31278540372693397</v>
      </c>
      <c r="O52" s="71">
        <v>-0.10715991589347</v>
      </c>
      <c r="P52" s="71">
        <v>1.3128473840030901E-2</v>
      </c>
      <c r="Q52" s="71" t="b">
        <v>1</v>
      </c>
      <c r="R52" s="62">
        <f t="shared" si="13"/>
        <v>-0.35048621836828447</v>
      </c>
      <c r="AB52" s="71" t="s">
        <v>97</v>
      </c>
      <c r="AC52" s="71">
        <v>-0.34426473721008799</v>
      </c>
      <c r="AD52" s="71">
        <v>0.11529331296062301</v>
      </c>
      <c r="AE52" s="71">
        <v>1.45577119494236E-3</v>
      </c>
      <c r="AF52" s="71">
        <v>-0.57396492361042395</v>
      </c>
      <c r="AG52" s="71">
        <v>-0.34340946378882298</v>
      </c>
      <c r="AH52" s="71">
        <v>-0.121358760096901</v>
      </c>
      <c r="AI52" s="71">
        <v>1.2626675021816299E-2</v>
      </c>
      <c r="AJ52" s="71" t="b">
        <v>1</v>
      </c>
      <c r="AK52" s="62">
        <f t="shared" si="14"/>
        <v>-0.33489724766746909</v>
      </c>
    </row>
    <row r="53" spans="9:37" x14ac:dyDescent="0.35">
      <c r="I53" s="71" t="s">
        <v>98</v>
      </c>
      <c r="J53" s="71">
        <v>0.151310036389912</v>
      </c>
      <c r="K53" s="71">
        <v>7.9234501502755295E-2</v>
      </c>
      <c r="L53" s="71">
        <v>1.00223194825757E-3</v>
      </c>
      <c r="M53" s="71">
        <v>-3.2207203395286999E-4</v>
      </c>
      <c r="N53" s="71">
        <v>0.14967142522162899</v>
      </c>
      <c r="O53" s="71">
        <v>0.31228727732432998</v>
      </c>
      <c r="P53" s="71">
        <v>1.2648933598991901E-2</v>
      </c>
      <c r="Q53" s="71" t="b">
        <v>1</v>
      </c>
      <c r="R53" s="62">
        <f t="shared" si="13"/>
        <v>0.5236566152067752</v>
      </c>
      <c r="AB53" s="71" t="s">
        <v>98</v>
      </c>
      <c r="AC53" s="71">
        <v>0.16768270365837401</v>
      </c>
      <c r="AD53" s="71">
        <v>8.4455572650712393E-2</v>
      </c>
      <c r="AE53" s="71">
        <v>1.1206773595957E-3</v>
      </c>
      <c r="AF53" s="71">
        <v>3.0130038327377002E-3</v>
      </c>
      <c r="AG53" s="71">
        <v>0.167902725118111</v>
      </c>
      <c r="AH53" s="71">
        <v>0.33584842551508998</v>
      </c>
      <c r="AI53" s="71">
        <v>1.3269430594361699E-2</v>
      </c>
      <c r="AJ53" s="71" t="b">
        <v>1</v>
      </c>
      <c r="AK53" s="62">
        <f t="shared" si="14"/>
        <v>0.50366299450166763</v>
      </c>
    </row>
    <row r="54" spans="9:37" x14ac:dyDescent="0.35">
      <c r="I54" s="71" t="s">
        <v>99</v>
      </c>
      <c r="J54" s="71">
        <v>1.0847774959768601E-2</v>
      </c>
      <c r="K54" s="71">
        <v>9.2498174678297906E-2</v>
      </c>
      <c r="L54" s="71">
        <v>1.2111834275636501E-3</v>
      </c>
      <c r="M54" s="71">
        <v>-0.17398159374015301</v>
      </c>
      <c r="N54" s="71">
        <v>1.4560699846708E-2</v>
      </c>
      <c r="O54" s="71">
        <v>0.182090589369127</v>
      </c>
      <c r="P54" s="71">
        <v>1.30941332818303E-2</v>
      </c>
      <c r="Q54" s="71" t="b">
        <v>1</v>
      </c>
      <c r="R54" s="62">
        <f t="shared" si="13"/>
        <v>8.5269260305775223</v>
      </c>
      <c r="AB54" s="71" t="s">
        <v>99</v>
      </c>
      <c r="AC54" s="71">
        <v>-9.6792463369823993E-3</v>
      </c>
      <c r="AD54" s="71">
        <v>9.8211651514255899E-2</v>
      </c>
      <c r="AE54" s="71">
        <v>1.2419432748770199E-3</v>
      </c>
      <c r="AF54" s="71">
        <v>-0.20372783594242799</v>
      </c>
      <c r="AG54" s="71">
        <v>-8.7954424787017906E-3</v>
      </c>
      <c r="AH54" s="71">
        <v>0.180885951772424</v>
      </c>
      <c r="AI54" s="71">
        <v>1.2645579783339101E-2</v>
      </c>
      <c r="AJ54" s="71" t="b">
        <v>1</v>
      </c>
      <c r="AK54" s="62">
        <f t="shared" si="14"/>
        <v>-10.146621761139551</v>
      </c>
    </row>
    <row r="55" spans="9:37" x14ac:dyDescent="0.35">
      <c r="I55" s="71" t="s">
        <v>100</v>
      </c>
      <c r="J55" s="71">
        <v>0.33631381963475498</v>
      </c>
      <c r="K55" s="71">
        <v>0.145284534217722</v>
      </c>
      <c r="L55" s="71">
        <v>1.8808251519227201E-3</v>
      </c>
      <c r="M55" s="71">
        <v>5.1706968835317703E-2</v>
      </c>
      <c r="N55" s="71">
        <v>0.33205537870666002</v>
      </c>
      <c r="O55" s="71">
        <v>0.63422956182536006</v>
      </c>
      <c r="P55" s="71">
        <v>1.2945804328381799E-2</v>
      </c>
      <c r="Q55" s="71" t="b">
        <v>1</v>
      </c>
      <c r="R55" s="62">
        <f t="shared" si="13"/>
        <v>0.43199097312000007</v>
      </c>
      <c r="AB55" s="71" t="s">
        <v>100</v>
      </c>
      <c r="AC55" s="71">
        <v>0.37961083211437802</v>
      </c>
      <c r="AD55" s="71">
        <v>0.145508557344628</v>
      </c>
      <c r="AE55" s="71">
        <v>1.9420808283534801E-3</v>
      </c>
      <c r="AF55" s="71">
        <v>9.5766152911010996E-2</v>
      </c>
      <c r="AG55" s="71">
        <v>0.37748854242514301</v>
      </c>
      <c r="AH55" s="71">
        <v>0.67028081279475404</v>
      </c>
      <c r="AI55" s="71">
        <v>1.3346849585992301E-2</v>
      </c>
      <c r="AJ55" s="71" t="b">
        <v>1</v>
      </c>
      <c r="AK55" s="62">
        <f t="shared" si="14"/>
        <v>0.38330981372203254</v>
      </c>
    </row>
    <row r="56" spans="9:37" x14ac:dyDescent="0.35">
      <c r="I56" s="71" t="s">
        <v>43</v>
      </c>
      <c r="J56" s="71">
        <v>2.4819946191693399E-3</v>
      </c>
      <c r="K56" s="71">
        <v>0.19876573484236601</v>
      </c>
      <c r="L56" s="71">
        <v>2.6368796841442599E-3</v>
      </c>
      <c r="M56" s="71">
        <v>-0.390000570588316</v>
      </c>
      <c r="N56" s="71">
        <v>1.5266347776854801E-3</v>
      </c>
      <c r="O56" s="71">
        <v>0.393498631834241</v>
      </c>
      <c r="P56" s="71">
        <v>1.32662688880227E-2</v>
      </c>
      <c r="Q56" s="71" t="b">
        <v>1</v>
      </c>
      <c r="R56" s="62">
        <f t="shared" si="13"/>
        <v>80.083064365742985</v>
      </c>
      <c r="AB56" s="71" t="s">
        <v>43</v>
      </c>
      <c r="AC56" s="71">
        <v>1.46616892480339E-3</v>
      </c>
      <c r="AD56" s="71">
        <v>0.19882975408234399</v>
      </c>
      <c r="AE56" s="71">
        <v>2.5398443383122401E-3</v>
      </c>
      <c r="AF56" s="71">
        <v>-0.38434148816216601</v>
      </c>
      <c r="AG56" s="71">
        <v>6.8782199124883803E-4</v>
      </c>
      <c r="AH56" s="71">
        <v>0.385992887423806</v>
      </c>
      <c r="AI56" s="71">
        <v>1.27739650940794E-2</v>
      </c>
      <c r="AJ56" s="71" t="b">
        <v>1</v>
      </c>
      <c r="AK56" s="62">
        <f t="shared" si="14"/>
        <v>135.61176390981456</v>
      </c>
    </row>
    <row r="57" spans="9:37" x14ac:dyDescent="0.35">
      <c r="I57" s="71" t="s">
        <v>22</v>
      </c>
      <c r="J57" s="71">
        <v>2.00856811445205</v>
      </c>
      <c r="K57" s="71">
        <v>0.22758644239626299</v>
      </c>
      <c r="L57" s="71">
        <v>2.9420744650073701E-3</v>
      </c>
      <c r="M57" s="71">
        <v>1.54571312258474</v>
      </c>
      <c r="N57" s="71">
        <v>2.0158471991021698</v>
      </c>
      <c r="O57" s="71">
        <v>2.4495594608811899</v>
      </c>
      <c r="P57" s="71">
        <v>1.2927283514915001E-2</v>
      </c>
      <c r="Q57" s="71" t="b">
        <v>1</v>
      </c>
      <c r="R57" s="62">
        <f t="shared" si="13"/>
        <v>0.11330780408129201</v>
      </c>
      <c r="AB57" s="71" t="s">
        <v>22</v>
      </c>
      <c r="AC57" s="71">
        <v>1.9368954984778499</v>
      </c>
      <c r="AD57" s="71">
        <v>0.224642663286544</v>
      </c>
      <c r="AE57" s="71">
        <v>2.9938947735083498E-3</v>
      </c>
      <c r="AF57" s="71">
        <v>1.48932073849558</v>
      </c>
      <c r="AG57" s="71">
        <v>1.9390508563689</v>
      </c>
      <c r="AH57" s="71">
        <v>2.3686493330662901</v>
      </c>
      <c r="AI57" s="71">
        <v>1.3327365023666399E-2</v>
      </c>
      <c r="AJ57" s="71" t="b">
        <v>1</v>
      </c>
      <c r="AK57" s="62">
        <f t="shared" si="14"/>
        <v>0.11598078650246446</v>
      </c>
    </row>
    <row r="58" spans="9:37" x14ac:dyDescent="0.35">
      <c r="I58" s="71" t="s">
        <v>24</v>
      </c>
      <c r="J58" s="71">
        <v>2.0969624059202299</v>
      </c>
      <c r="K58" s="71">
        <v>0.23434030325799299</v>
      </c>
      <c r="L58" s="71">
        <v>3.0127569454605099E-3</v>
      </c>
      <c r="M58" s="71">
        <v>1.6367668729832101</v>
      </c>
      <c r="N58" s="71">
        <v>2.1000067092997101</v>
      </c>
      <c r="O58" s="71">
        <v>2.5526619991725998</v>
      </c>
      <c r="P58" s="71">
        <v>1.28563328781889E-2</v>
      </c>
      <c r="Q58" s="71" t="b">
        <v>1</v>
      </c>
      <c r="R58" s="62">
        <f t="shared" si="13"/>
        <v>0.11175226727784622</v>
      </c>
      <c r="AB58" s="71" t="s">
        <v>24</v>
      </c>
      <c r="AC58" s="71">
        <v>2.0165618441277799</v>
      </c>
      <c r="AD58" s="71">
        <v>0.22540767153216401</v>
      </c>
      <c r="AE58" s="71">
        <v>2.9985020273561201E-3</v>
      </c>
      <c r="AF58" s="71">
        <v>1.57840020831293</v>
      </c>
      <c r="AG58" s="71">
        <v>2.0142940588334901</v>
      </c>
      <c r="AH58" s="71">
        <v>2.4571593480554101</v>
      </c>
      <c r="AI58" s="71">
        <v>1.33025730977761E-2</v>
      </c>
      <c r="AJ58" s="71" t="b">
        <v>1</v>
      </c>
      <c r="AK58" s="62">
        <f t="shared" si="14"/>
        <v>0.11177820912785306</v>
      </c>
    </row>
    <row r="59" spans="9:37" x14ac:dyDescent="0.35">
      <c r="I59" s="71" t="s">
        <v>44</v>
      </c>
      <c r="J59" s="71">
        <v>-0.20123430386999699</v>
      </c>
      <c r="K59" s="71">
        <v>0.20858341892285501</v>
      </c>
      <c r="L59" s="71">
        <v>2.66413478446507E-3</v>
      </c>
      <c r="M59" s="78">
        <v>-0.60013594606929899</v>
      </c>
      <c r="N59" s="78">
        <v>-0.20427308068449601</v>
      </c>
      <c r="O59" s="78">
        <v>0.222135968998735</v>
      </c>
      <c r="P59" s="71">
        <v>1.2772514700463301E-2</v>
      </c>
      <c r="Q59" s="71" t="b">
        <v>1</v>
      </c>
      <c r="R59" s="79">
        <f>K59/J59</f>
        <v>-1.0365201902037824</v>
      </c>
      <c r="AB59" s="71" t="s">
        <v>44</v>
      </c>
      <c r="AC59" s="71">
        <v>8.5489887738528902E-3</v>
      </c>
      <c r="AD59" s="71">
        <v>0.58690901963251296</v>
      </c>
      <c r="AE59" s="71">
        <v>7.5753449623642199E-3</v>
      </c>
      <c r="AF59" s="71">
        <v>-0.95104043348516298</v>
      </c>
      <c r="AG59" s="71">
        <v>1.26043346274186E-2</v>
      </c>
      <c r="AH59" s="71">
        <v>0.95771195224927397</v>
      </c>
      <c r="AI59" s="71">
        <v>1.29071878416649E-2</v>
      </c>
      <c r="AJ59" s="71" t="b">
        <v>1</v>
      </c>
      <c r="AK59" s="62">
        <f t="shared" si="14"/>
        <v>68.65244944847467</v>
      </c>
    </row>
    <row r="60" spans="9:37" x14ac:dyDescent="0.35">
      <c r="I60" s="71" t="s">
        <v>45</v>
      </c>
      <c r="J60" s="71">
        <v>0.39296407648485099</v>
      </c>
      <c r="K60" s="71">
        <v>5.54187520342347E-2</v>
      </c>
      <c r="L60" s="71">
        <v>7.0520493316936705E-4</v>
      </c>
      <c r="M60" s="78">
        <v>0.30215035774497401</v>
      </c>
      <c r="N60" s="78">
        <v>0.38712270844306701</v>
      </c>
      <c r="O60" s="78">
        <v>0.516919801608268</v>
      </c>
      <c r="P60" s="71">
        <v>1.2725023701972401E-2</v>
      </c>
      <c r="Q60" s="71" t="b">
        <v>1</v>
      </c>
      <c r="R60" s="79">
        <f t="shared" si="13"/>
        <v>0.14102752732506105</v>
      </c>
      <c r="AB60" s="71" t="s">
        <v>45</v>
      </c>
      <c r="AC60" s="71">
        <v>0.39538287086310903</v>
      </c>
      <c r="AD60" s="71">
        <v>5.4823148920106701E-2</v>
      </c>
      <c r="AE60" s="71">
        <v>7.2306734911996404E-4</v>
      </c>
      <c r="AF60" s="78">
        <v>0.30494792598922299</v>
      </c>
      <c r="AG60" s="78">
        <v>0.38912323444587799</v>
      </c>
      <c r="AH60" s="78">
        <v>0.52073299407734197</v>
      </c>
      <c r="AI60" s="71">
        <v>1.3189088247624801E-2</v>
      </c>
      <c r="AJ60" s="71" t="b">
        <v>1</v>
      </c>
      <c r="AK60" s="62">
        <f t="shared" si="14"/>
        <v>0.13865838143273482</v>
      </c>
    </row>
    <row r="61" spans="9:37" x14ac:dyDescent="0.35">
      <c r="I61" s="71" t="s">
        <v>46</v>
      </c>
      <c r="J61" s="71">
        <v>0.99117706671636996</v>
      </c>
      <c r="K61" s="71">
        <v>0.57448610615863205</v>
      </c>
      <c r="L61" s="71">
        <v>7.2873248933673597E-3</v>
      </c>
      <c r="M61" s="71">
        <v>4.9994524347415699E-2</v>
      </c>
      <c r="N61" s="71">
        <v>0.99161093208224804</v>
      </c>
      <c r="O61" s="71">
        <v>1.94442473526546</v>
      </c>
      <c r="P61" s="71">
        <v>1.2684945406417099E-2</v>
      </c>
      <c r="Q61" s="71" t="b">
        <v>1</v>
      </c>
      <c r="R61" s="62">
        <f t="shared" si="13"/>
        <v>0.57959987720642447</v>
      </c>
      <c r="AB61" s="71" t="s">
        <v>46</v>
      </c>
      <c r="AC61" s="71">
        <v>0.99695867877468203</v>
      </c>
      <c r="AD61" s="71">
        <v>0.57653697793560599</v>
      </c>
      <c r="AE61" s="71">
        <v>7.4436214390045299E-3</v>
      </c>
      <c r="AF61" s="71">
        <v>5.3155825846631997E-2</v>
      </c>
      <c r="AG61" s="71">
        <v>1.00120162742692</v>
      </c>
      <c r="AH61" s="71">
        <v>1.9531585819444499</v>
      </c>
      <c r="AI61" s="71">
        <v>1.29109176408038E-2</v>
      </c>
      <c r="AJ61" s="71" t="b">
        <v>1</v>
      </c>
      <c r="AK61" s="62">
        <f t="shared" si="14"/>
        <v>0.57829576110837633</v>
      </c>
    </row>
    <row r="62" spans="9:37" x14ac:dyDescent="0.35">
      <c r="I62" s="72" t="s">
        <v>47</v>
      </c>
      <c r="J62" s="72">
        <v>938.04056463843494</v>
      </c>
      <c r="K62" s="72">
        <v>34898.617043630104</v>
      </c>
      <c r="L62" s="72">
        <v>450.57465827817902</v>
      </c>
      <c r="M62" s="72">
        <v>0.26449515788441003</v>
      </c>
      <c r="N62" s="72">
        <v>1.0169917361616401</v>
      </c>
      <c r="O62" s="72">
        <v>400.09881639896997</v>
      </c>
      <c r="P62" s="72">
        <v>1.2910960274296101E-2</v>
      </c>
      <c r="Q62" s="72" t="b">
        <v>1</v>
      </c>
      <c r="R62" s="68">
        <f t="shared" si="13"/>
        <v>37.203739752002811</v>
      </c>
      <c r="AB62" s="72" t="s">
        <v>47</v>
      </c>
      <c r="AC62" s="72">
        <v>1462.4830254721401</v>
      </c>
      <c r="AD62" s="72">
        <v>62431.444801247497</v>
      </c>
      <c r="AE62" s="72">
        <v>806.02680425465496</v>
      </c>
      <c r="AF62" s="72">
        <v>0.262134985664077</v>
      </c>
      <c r="AG62" s="72">
        <v>0.99760106994231901</v>
      </c>
      <c r="AH62" s="72">
        <v>353.91457497939899</v>
      </c>
      <c r="AI62" s="72">
        <v>1.2910590277394199E-2</v>
      </c>
      <c r="AJ62" s="72" t="b">
        <v>1</v>
      </c>
      <c r="AK62" s="68">
        <f t="shared" si="14"/>
        <v>42.688662852064532</v>
      </c>
    </row>
    <row r="63" spans="9:37" x14ac:dyDescent="0.35">
      <c r="I63" s="71"/>
      <c r="J63" s="71"/>
      <c r="K63" s="71"/>
      <c r="L63" s="71"/>
      <c r="M63" s="71"/>
      <c r="N63" s="71"/>
      <c r="O63" s="71"/>
      <c r="P63" s="71"/>
      <c r="Q63" s="71"/>
      <c r="R63" s="62"/>
      <c r="AB63" s="71"/>
      <c r="AC63" s="71"/>
      <c r="AD63" s="71"/>
      <c r="AE63" s="71"/>
      <c r="AF63" s="71"/>
      <c r="AG63" s="71"/>
      <c r="AH63" s="71"/>
      <c r="AI63" s="71"/>
      <c r="AJ63" s="71"/>
      <c r="AK63" s="62"/>
    </row>
    <row r="64" spans="9:37" x14ac:dyDescent="0.35">
      <c r="I64" s="71"/>
      <c r="J64" s="71"/>
      <c r="K64" s="71"/>
      <c r="L64" s="71"/>
      <c r="M64" s="71"/>
      <c r="N64" s="71"/>
      <c r="O64" s="71"/>
      <c r="P64" s="71"/>
      <c r="Q64" s="71"/>
      <c r="R64" s="62"/>
      <c r="AB64" s="71"/>
      <c r="AC64" s="71"/>
      <c r="AD64" s="71"/>
      <c r="AE64" s="71"/>
      <c r="AF64" s="71"/>
      <c r="AG64" s="71"/>
      <c r="AH64" s="71"/>
      <c r="AI64" s="71"/>
      <c r="AJ64" s="71"/>
      <c r="AK64" s="62"/>
    </row>
    <row r="65" spans="9:37" x14ac:dyDescent="0.35">
      <c r="I65" s="71"/>
      <c r="J65" s="71"/>
      <c r="K65" s="71"/>
      <c r="L65" s="71"/>
      <c r="M65" s="71"/>
      <c r="N65" s="71"/>
      <c r="O65" s="71"/>
      <c r="P65" s="71"/>
      <c r="Q65" s="71"/>
      <c r="R65" s="62"/>
      <c r="AB65" s="71"/>
      <c r="AC65" s="71"/>
      <c r="AD65" s="71"/>
      <c r="AE65" s="71"/>
      <c r="AF65" s="71"/>
      <c r="AG65" s="71"/>
      <c r="AH65" s="71"/>
      <c r="AI65" s="71"/>
      <c r="AJ65" s="71"/>
      <c r="AK65" s="62"/>
    </row>
    <row r="66" spans="9:37" x14ac:dyDescent="0.35">
      <c r="I66" s="71"/>
      <c r="J66" s="71"/>
      <c r="K66" s="71"/>
      <c r="L66" s="71"/>
      <c r="M66" s="71"/>
      <c r="N66" s="71"/>
      <c r="O66" s="71"/>
      <c r="P66" s="71"/>
      <c r="Q66" s="71"/>
      <c r="R66" s="62"/>
      <c r="AB66" s="71"/>
      <c r="AC66" s="71"/>
      <c r="AD66" s="71"/>
      <c r="AE66" s="71"/>
      <c r="AF66" s="71"/>
      <c r="AG66" s="71"/>
      <c r="AH66" s="71"/>
      <c r="AI66" s="71"/>
      <c r="AJ66" s="71"/>
      <c r="AK66" s="62"/>
    </row>
    <row r="67" spans="9:37" x14ac:dyDescent="0.35">
      <c r="I67" s="71"/>
      <c r="J67" s="71"/>
      <c r="K67" s="71"/>
      <c r="L67" s="71"/>
      <c r="M67" s="71"/>
      <c r="N67" s="71"/>
      <c r="O67" s="71"/>
      <c r="P67" s="71"/>
      <c r="Q67" s="71"/>
      <c r="R67" s="62"/>
      <c r="AB67" s="71"/>
      <c r="AC67" s="71"/>
      <c r="AD67" s="71"/>
      <c r="AE67" s="71"/>
      <c r="AF67" s="71"/>
      <c r="AG67" s="71"/>
      <c r="AH67" s="71"/>
      <c r="AI67" s="71"/>
      <c r="AJ67" s="71"/>
      <c r="AK67" s="62"/>
    </row>
    <row r="68" spans="9:37" x14ac:dyDescent="0.35">
      <c r="I68" s="71"/>
      <c r="J68" s="71"/>
      <c r="K68" s="71"/>
      <c r="L68" s="71"/>
      <c r="M68" s="71"/>
      <c r="N68" s="71"/>
      <c r="O68" s="71"/>
      <c r="P68" s="71"/>
      <c r="Q68" s="71"/>
      <c r="R68" s="62"/>
      <c r="AB68" s="71"/>
      <c r="AC68" s="71"/>
      <c r="AD68" s="71"/>
      <c r="AE68" s="71"/>
      <c r="AF68" s="71"/>
      <c r="AG68" s="71"/>
      <c r="AH68" s="71"/>
      <c r="AI68" s="71"/>
      <c r="AJ68" s="71"/>
      <c r="AK68" s="62"/>
    </row>
    <row r="69" spans="9:37" x14ac:dyDescent="0.35">
      <c r="I69" s="71"/>
      <c r="J69" s="71"/>
      <c r="K69" s="71"/>
      <c r="L69" s="71"/>
      <c r="M69" s="71"/>
      <c r="N69" s="71"/>
      <c r="O69" s="71"/>
      <c r="P69" s="71"/>
      <c r="Q69" s="71"/>
      <c r="R69" s="62"/>
      <c r="AB69" s="71"/>
      <c r="AC69" s="71"/>
      <c r="AD69" s="71"/>
      <c r="AE69" s="71"/>
      <c r="AF69" s="71"/>
      <c r="AG69" s="71"/>
      <c r="AH69" s="71"/>
      <c r="AI69" s="71"/>
      <c r="AJ69" s="71"/>
      <c r="AK69" s="62"/>
    </row>
    <row r="70" spans="9:37" x14ac:dyDescent="0.35">
      <c r="I70" s="71"/>
      <c r="J70" s="71"/>
      <c r="K70" s="71"/>
      <c r="L70" s="71"/>
      <c r="M70" s="71"/>
      <c r="N70" s="71"/>
      <c r="O70" s="71"/>
      <c r="P70" s="71"/>
      <c r="Q70" s="71"/>
      <c r="R70" s="62"/>
      <c r="AB70" s="71"/>
      <c r="AC70" s="71"/>
      <c r="AD70" s="71"/>
      <c r="AE70" s="71"/>
      <c r="AF70" s="71"/>
      <c r="AG70" s="71"/>
      <c r="AH70" s="71"/>
      <c r="AI70" s="71"/>
      <c r="AJ70" s="71"/>
      <c r="AK70" s="62"/>
    </row>
    <row r="71" spans="9:37" x14ac:dyDescent="0.35">
      <c r="I71" s="71"/>
      <c r="J71" s="71"/>
      <c r="K71" s="71"/>
      <c r="L71" s="71"/>
      <c r="M71" s="71"/>
      <c r="N71" s="71"/>
      <c r="O71" s="71"/>
      <c r="P71" s="71"/>
      <c r="Q71" s="71"/>
      <c r="R71" s="62"/>
      <c r="AB71" s="71"/>
      <c r="AC71" s="71"/>
      <c r="AD71" s="71"/>
      <c r="AE71" s="71"/>
      <c r="AF71" s="71"/>
      <c r="AG71" s="71"/>
      <c r="AH71" s="71"/>
      <c r="AI71" s="71"/>
      <c r="AJ71" s="71"/>
      <c r="AK71" s="62"/>
    </row>
    <row r="72" spans="9:37" x14ac:dyDescent="0.35">
      <c r="I72" s="71"/>
      <c r="J72" s="71"/>
      <c r="K72" s="71"/>
      <c r="L72" s="71"/>
      <c r="M72" s="71"/>
      <c r="N72" s="71"/>
      <c r="O72" s="71"/>
      <c r="P72" s="71"/>
      <c r="Q72" s="71"/>
      <c r="R72" s="62"/>
      <c r="AB72" s="71"/>
      <c r="AC72" s="71"/>
      <c r="AD72" s="71"/>
      <c r="AE72" s="71"/>
      <c r="AF72" s="71"/>
      <c r="AG72" s="71"/>
      <c r="AH72" s="71"/>
      <c r="AI72" s="71"/>
      <c r="AJ72" s="71"/>
      <c r="AK72" s="62"/>
    </row>
    <row r="73" spans="9:37" x14ac:dyDescent="0.35">
      <c r="I73" s="71"/>
      <c r="J73" s="71"/>
      <c r="K73" s="71"/>
      <c r="L73" s="71"/>
      <c r="M73" s="71"/>
      <c r="N73" s="71"/>
      <c r="O73" s="71"/>
      <c r="P73" s="71"/>
      <c r="Q73" s="71"/>
      <c r="R73" s="62"/>
      <c r="AB73" s="71"/>
      <c r="AC73" s="71"/>
      <c r="AD73" s="71"/>
      <c r="AE73" s="71"/>
      <c r="AF73" s="71"/>
      <c r="AG73" s="71"/>
      <c r="AH73" s="71"/>
      <c r="AI73" s="71"/>
      <c r="AJ73" s="71"/>
      <c r="AK73" s="62"/>
    </row>
    <row r="74" spans="9:37" x14ac:dyDescent="0.35">
      <c r="I74" s="71"/>
      <c r="J74" s="71"/>
      <c r="K74" s="71"/>
      <c r="L74" s="71"/>
      <c r="M74" s="71"/>
      <c r="N74" s="71"/>
      <c r="O74" s="71"/>
      <c r="P74" s="71"/>
      <c r="Q74" s="71"/>
      <c r="R74" s="62"/>
      <c r="AB74" s="72"/>
      <c r="AC74" s="72"/>
      <c r="AD74" s="72"/>
      <c r="AE74" s="72"/>
      <c r="AF74" s="72"/>
      <c r="AG74" s="72"/>
      <c r="AH74" s="72"/>
      <c r="AI74" s="72"/>
      <c r="AJ74" s="72"/>
      <c r="AK74" s="68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workbookViewId="0">
      <selection activeCell="L16" sqref="L16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2" t="s">
        <v>101</v>
      </c>
      <c r="E1" s="90" t="s">
        <v>9</v>
      </c>
      <c r="F1" s="90"/>
      <c r="G1" s="90"/>
      <c r="H1" s="51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48">
        <v>27600</v>
      </c>
      <c r="E15" s="48">
        <v>48100</v>
      </c>
      <c r="F15" t="s">
        <v>108</v>
      </c>
    </row>
    <row r="21" spans="1:4003" s="23" customFormat="1" ht="20.399999999999999" x14ac:dyDescent="0.35">
      <c r="A21" s="52" t="s">
        <v>102</v>
      </c>
      <c r="E21" s="90" t="s">
        <v>9</v>
      </c>
      <c r="F21" s="90"/>
      <c r="G21" s="90"/>
      <c r="H21" s="51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36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36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24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24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24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24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2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2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2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2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2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2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2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2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2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2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44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44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4"/>
      <c r="B33" s="74"/>
      <c r="C33" s="74"/>
      <c r="D33" s="74"/>
      <c r="E33" s="74"/>
      <c r="MO33" s="9"/>
    </row>
    <row r="34" spans="1:353" x14ac:dyDescent="0.3">
      <c r="A34" s="74"/>
      <c r="B34" s="74"/>
      <c r="C34" s="74"/>
      <c r="D34" s="75"/>
      <c r="E34" s="75"/>
      <c r="MO34" s="9"/>
    </row>
    <row r="35" spans="1:353" x14ac:dyDescent="0.3">
      <c r="A35" s="74"/>
      <c r="B35" s="74"/>
      <c r="C35" s="74"/>
      <c r="D35" s="75"/>
      <c r="E35" s="75"/>
    </row>
    <row r="36" spans="1:353" x14ac:dyDescent="0.3">
      <c r="A36" s="74"/>
      <c r="B36" s="74"/>
      <c r="C36" s="74"/>
      <c r="D36" s="75"/>
      <c r="E36" s="75"/>
    </row>
    <row r="37" spans="1:353" x14ac:dyDescent="0.3">
      <c r="A37" s="74"/>
      <c r="B37" s="74"/>
      <c r="C37" s="74"/>
      <c r="D37" s="75"/>
      <c r="E37" s="75"/>
    </row>
    <row r="38" spans="1:353" x14ac:dyDescent="0.3">
      <c r="A38" s="74"/>
      <c r="B38" s="74"/>
      <c r="C38" s="74"/>
      <c r="D38" s="75"/>
      <c r="E38" s="75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2026-05-28T22:36:28Z</dcterms:modified>
</cp:coreProperties>
</file>